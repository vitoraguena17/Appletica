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71.xml" ContentType="application/vnd.openxmlformats-officedocument.spreadsheetml.table+xml"/>
  <Override PartName="/xl/tables/table122.xml" ContentType="application/vnd.openxmlformats-officedocument.spreadsheetml.table+xml"/>
  <Override PartName="/xl/tables/table23.xml" ContentType="application/vnd.openxmlformats-officedocument.spreadsheetml.table+xml"/>
  <Override PartName="/xl/tables/table64.xml" ContentType="application/vnd.openxmlformats-officedocument.spreadsheetml.table+xml"/>
  <Override PartName="/xl/tables/table115.xml" ContentType="application/vnd.openxmlformats-officedocument.spreadsheetml.table+xml"/>
  <Override PartName="/xl/tables/table16.xml" ContentType="application/vnd.openxmlformats-officedocument.spreadsheetml.table+xml"/>
  <Override PartName="/xl/tables/table57.xml" ContentType="application/vnd.openxmlformats-officedocument.spreadsheetml.table+xml"/>
  <Override PartName="/xl/tables/table108.xml" ContentType="application/vnd.openxmlformats-officedocument.spreadsheetml.table+xml"/>
  <Override PartName="/xl/tables/table49.xml" ContentType="application/vnd.openxmlformats-officedocument.spreadsheetml.table+xml"/>
  <Override PartName="/xl/tables/table910.xml" ContentType="application/vnd.openxmlformats-officedocument.spreadsheetml.table+xml"/>
  <Override PartName="/xl/tables/table311.xml" ContentType="application/vnd.openxmlformats-officedocument.spreadsheetml.table+xml"/>
  <Override PartName="/xl/tables/table812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/>
  <workbookPr autoCompressPictures="0"/>
  <mc:AlternateContent xmlns:mc="http://schemas.openxmlformats.org/markup-compatibility/2006">
    <mc:Choice Requires="x15">
      <x15ac:absPath xmlns:x15ac="http://schemas.microsoft.com/office/spreadsheetml/2010/11/ac" url="\\sh-cn-1\PubMed\Templates\20230404_Backlog_HO_Q4_B8\04_PreDTP_Done\pt-BR\"/>
    </mc:Choice>
  </mc:AlternateContent>
  <xr:revisionPtr revIDLastSave="0" documentId="13_ncr:1_{54834EBA-C15E-4D24-8AFD-5C1776CCF328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Orçamento pessoal mensal" sheetId="1" r:id="rId1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2" i="1" l="1"/>
  <c r="J53" i="1"/>
  <c r="J54" i="1"/>
  <c r="E56" i="1"/>
  <c r="E57" i="1"/>
  <c r="E58" i="1"/>
  <c r="E59" i="1"/>
  <c r="E60" i="1"/>
  <c r="E61" i="1"/>
  <c r="E48" i="1"/>
  <c r="E49" i="1"/>
  <c r="E50" i="1"/>
  <c r="E51" i="1"/>
  <c r="E42" i="1"/>
  <c r="E43" i="1"/>
  <c r="J51" i="1"/>
  <c r="E55" i="1" l="1"/>
  <c r="E47" i="1" l="1"/>
  <c r="E41" i="1" l="1"/>
  <c r="E14" i="1" l="1"/>
  <c r="E13" i="1"/>
  <c r="E12" i="1"/>
  <c r="E30" i="1"/>
  <c r="J28" i="1"/>
  <c r="J35" i="1"/>
  <c r="E37" i="1"/>
  <c r="J45" i="1"/>
  <c r="J46" i="1"/>
  <c r="J47" i="1"/>
  <c r="J39" i="1"/>
  <c r="J40" i="1"/>
  <c r="J41" i="1"/>
  <c r="J32" i="1"/>
  <c r="J33" i="1"/>
  <c r="J34" i="1"/>
  <c r="J23" i="1"/>
  <c r="J24" i="1"/>
  <c r="J25" i="1"/>
  <c r="J26" i="1"/>
  <c r="J27" i="1"/>
  <c r="J11" i="1"/>
  <c r="J12" i="1"/>
  <c r="J13" i="1"/>
  <c r="J14" i="1"/>
  <c r="J15" i="1"/>
  <c r="J16" i="1"/>
  <c r="J17" i="1"/>
  <c r="J18" i="1"/>
  <c r="J19" i="1"/>
  <c r="E34" i="1"/>
  <c r="E35" i="1"/>
  <c r="E36" i="1"/>
  <c r="E24" i="1"/>
  <c r="E25" i="1"/>
  <c r="E26" i="1"/>
  <c r="E27" i="1"/>
  <c r="E28" i="1"/>
  <c r="E29" i="1"/>
  <c r="E11" i="1"/>
  <c r="E15" i="1"/>
  <c r="E16" i="1"/>
  <c r="E17" i="1"/>
  <c r="E18" i="1"/>
  <c r="E19" i="1"/>
  <c r="E20" i="1"/>
  <c r="I55" i="1"/>
  <c r="H55" i="1"/>
  <c r="I48" i="1"/>
  <c r="H48" i="1"/>
  <c r="I42" i="1"/>
  <c r="H42" i="1"/>
  <c r="I36" i="1"/>
  <c r="H36" i="1"/>
  <c r="I29" i="1"/>
  <c r="H29" i="1"/>
  <c r="D62" i="1"/>
  <c r="C62" i="1"/>
  <c r="D52" i="1"/>
  <c r="C52" i="1"/>
  <c r="D44" i="1"/>
  <c r="C44" i="1"/>
  <c r="D38" i="1"/>
  <c r="C38" i="1"/>
  <c r="D31" i="1"/>
  <c r="C31" i="1"/>
  <c r="I20" i="1"/>
  <c r="H20" i="1"/>
  <c r="D21" i="1"/>
  <c r="J4" i="1" s="1"/>
  <c r="C21" i="1"/>
  <c r="J3" i="1" s="1"/>
  <c r="E5" i="1"/>
  <c r="J6" i="1" s="1"/>
  <c r="E8" i="1"/>
  <c r="J7" i="1" s="1"/>
  <c r="J20" i="1" l="1"/>
  <c r="E62" i="1"/>
  <c r="E21" i="1"/>
  <c r="J55" i="1" l="1"/>
  <c r="J48" i="1"/>
  <c r="J42" i="1"/>
  <c r="J36" i="1"/>
  <c r="J29" i="1"/>
  <c r="E52" i="1"/>
  <c r="E44" i="1"/>
  <c r="E38" i="1"/>
  <c r="E31" i="1"/>
  <c r="J5" i="1" s="1"/>
  <c r="J8" i="1" l="1"/>
</calcChain>
</file>

<file path=xl/sharedStrings.xml><?xml version="1.0" encoding="utf-8"?>
<sst xmlns="http://schemas.openxmlformats.org/spreadsheetml/2006/main" count="144" uniqueCount="80">
  <si>
    <t>Orçamento pessoal mensal</t>
  </si>
  <si>
    <t>RENDA MENSAL PREVISTA</t>
  </si>
  <si>
    <t>RENDA MENSAL REAL</t>
  </si>
  <si>
    <t>MORADIA</t>
  </si>
  <si>
    <t>Hipoteca ou aluguel</t>
  </si>
  <si>
    <t>Telefone</t>
  </si>
  <si>
    <t>Conta de luz</t>
  </si>
  <si>
    <t>Gás</t>
  </si>
  <si>
    <t>Água e esgoto</t>
  </si>
  <si>
    <t>TV a cabo</t>
  </si>
  <si>
    <t>Coleta de lixo</t>
  </si>
  <si>
    <t>Manutenção ou reparos</t>
  </si>
  <si>
    <t>Suprimentos</t>
  </si>
  <si>
    <t>Outros</t>
  </si>
  <si>
    <t>Total</t>
  </si>
  <si>
    <t>TRANSPORTE</t>
  </si>
  <si>
    <t>Pagamento do veículo</t>
  </si>
  <si>
    <t>Transporte público/táxi</t>
  </si>
  <si>
    <t>Seguro</t>
  </si>
  <si>
    <t>Licenciamento</t>
  </si>
  <si>
    <t>Combustível</t>
  </si>
  <si>
    <t>Manutenção</t>
  </si>
  <si>
    <t>SEGURO</t>
  </si>
  <si>
    <t>Residencial</t>
  </si>
  <si>
    <t>Saúde</t>
  </si>
  <si>
    <t>Vida</t>
  </si>
  <si>
    <t>ALIMENTAÇÃO</t>
  </si>
  <si>
    <t>Supermercado</t>
  </si>
  <si>
    <t>Jantar fora</t>
  </si>
  <si>
    <t>ANIMAIS DE ESTIMAÇÃO</t>
  </si>
  <si>
    <t>Alimentação</t>
  </si>
  <si>
    <t>Médico</t>
  </si>
  <si>
    <t>Banho e tosa</t>
  </si>
  <si>
    <t>Brinquedos</t>
  </si>
  <si>
    <t>CUIDADOS PESSOAIS</t>
  </si>
  <si>
    <t>Cabelo/unhas</t>
  </si>
  <si>
    <t>Vestuário</t>
  </si>
  <si>
    <t>Lavagem a seco</t>
  </si>
  <si>
    <t>Academia</t>
  </si>
  <si>
    <t>Impostos ou taxas de organização</t>
  </si>
  <si>
    <t>Renda 1</t>
  </si>
  <si>
    <t>Renda extra</t>
  </si>
  <si>
    <t>Renda mensal total</t>
  </si>
  <si>
    <t>Custo previsto</t>
  </si>
  <si>
    <t>Custo Real</t>
  </si>
  <si>
    <t>Diferença</t>
  </si>
  <si>
    <t xml:space="preserve">PREVISÃO DE DESPESA TOTAL </t>
  </si>
  <si>
    <t xml:space="preserve">DESPESA TOTAL REAL </t>
  </si>
  <si>
    <t>Diferença de despesas total</t>
  </si>
  <si>
    <t>SALDO PREVISTO</t>
  </si>
  <si>
    <t>SALDO REAL</t>
  </si>
  <si>
    <t>DIFERENÇA DE SALDO (real menos previsto)</t>
  </si>
  <si>
    <t>ENTRETENIMENTO</t>
  </si>
  <si>
    <t>Vídeo/DVD</t>
  </si>
  <si>
    <t>CDs</t>
  </si>
  <si>
    <t>Filmes</t>
  </si>
  <si>
    <t>Shows</t>
  </si>
  <si>
    <t>Eventos esportivos</t>
  </si>
  <si>
    <t>Teatro ao vivo</t>
  </si>
  <si>
    <t>EMPRÉSTIMOS</t>
  </si>
  <si>
    <t>Pessoal</t>
  </si>
  <si>
    <t>Estudante</t>
  </si>
  <si>
    <t>Cartão de crédito</t>
  </si>
  <si>
    <t>IMPOSTOS</t>
  </si>
  <si>
    <t>Federal</t>
  </si>
  <si>
    <t>Estadual</t>
  </si>
  <si>
    <t>Local</t>
  </si>
  <si>
    <t>POUPANÇAS OU INVESTIMENTOS</t>
  </si>
  <si>
    <t>Aposentadoria</t>
  </si>
  <si>
    <t>Investimentos</t>
  </si>
  <si>
    <t>PRESENTES E DOAÇÕES</t>
  </si>
  <si>
    <t>Instituição beneficente 1</t>
  </si>
  <si>
    <t>Instituição beneficente 2</t>
  </si>
  <si>
    <t>Instituição beneficente 3</t>
  </si>
  <si>
    <t>ASSESSORIA JURÍDICA</t>
  </si>
  <si>
    <t>Advogado</t>
  </si>
  <si>
    <t>Pensão alimentícia</t>
  </si>
  <si>
    <t>Pagamentos em garantia ou julgamento</t>
  </si>
  <si>
    <t>(renda menos custo previsto)</t>
  </si>
  <si>
    <t>(renda menos custo real)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</si>
</sst>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R$&quot;\ #,##0;\-&quot;R$&quot;\ #,##0"/>
    <numFmt numFmtId="165" formatCode="&quot;R$&quot;\ #,##0;[Red]\-&quot;R$&quot;\ #,##0"/>
    <numFmt numFmtId="166" formatCode="&quot;R$&quot;\ #,##0"/>
  </numFmts>
  <fonts count="13" x14ac:knownFonts="1">
    <font>
      <sz val="10"/>
      <color theme="1"/>
      <name val="Microsoft Sans Serif"/>
      <family val="2"/>
      <scheme val="minor"/>
    </font>
    <font>
      <sz val="8"/>
      <color theme="1"/>
      <name val="Arial"/>
      <family val="2"/>
    </font>
    <font>
      <sz val="10"/>
      <color indexed="63"/>
      <name val="Microsoft Sans Serif"/>
      <family val="2"/>
      <scheme val="minor"/>
    </font>
    <font>
      <b/>
      <sz val="10"/>
      <color indexed="63"/>
      <name val="Microsoft Sans Serif"/>
      <family val="2"/>
      <scheme val="minor"/>
    </font>
    <font>
      <sz val="10"/>
      <name val="Microsoft Sans Serif"/>
      <family val="2"/>
      <scheme val="minor"/>
    </font>
    <font>
      <b/>
      <sz val="10"/>
      <name val="Microsoft Sans Serif"/>
      <family val="2"/>
      <scheme val="minor"/>
    </font>
    <font>
      <b/>
      <sz val="10"/>
      <color theme="3"/>
      <name val="Microsoft Sans Serif"/>
      <family val="2"/>
      <scheme val="minor"/>
    </font>
    <font>
      <b/>
      <sz val="10"/>
      <color theme="4"/>
      <name val="Microsoft Sans Serif"/>
      <family val="2"/>
      <scheme val="minor"/>
    </font>
    <font>
      <sz val="10"/>
      <color theme="3"/>
      <name val="Microsoft Sans Serif"/>
      <family val="2"/>
      <scheme val="minor"/>
    </font>
    <font>
      <sz val="10"/>
      <color theme="4"/>
      <name val="Microsoft Sans Serif"/>
      <family val="2"/>
      <scheme val="minor"/>
    </font>
    <font>
      <sz val="30"/>
      <color theme="3"/>
      <name val="Franklin Gothic Demi"/>
      <family val="2"/>
      <scheme val="major"/>
    </font>
    <font>
      <sz val="10"/>
      <color theme="1"/>
      <name val="Microsoft Sans Serif"/>
      <family val="2"/>
      <scheme val="minor"/>
    </font>
    <font>
      <b/>
      <sz val="10"/>
      <color theme="1"/>
      <name val="Microsoft Sans Serif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/>
      <top style="thin">
        <color theme="0"/>
      </top>
      <bottom style="thin">
        <color theme="3"/>
      </bottom>
      <diagonal/>
    </border>
    <border>
      <left/>
      <right/>
      <top/>
      <bottom style="medium">
        <color theme="3"/>
      </bottom>
      <diagonal/>
    </border>
    <border>
      <left style="thin">
        <color theme="3"/>
      </left>
      <right/>
      <top style="thin">
        <color theme="3"/>
      </top>
      <bottom style="medium">
        <color theme="3"/>
      </bottom>
      <diagonal/>
    </border>
    <border>
      <left/>
      <right style="thin">
        <color theme="3"/>
      </right>
      <top style="thin">
        <color theme="0"/>
      </top>
      <bottom style="thin">
        <color theme="3"/>
      </bottom>
      <diagonal/>
    </border>
    <border>
      <left/>
      <right style="thin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/>
      <diagonal/>
    </border>
    <border>
      <left style="thin">
        <color theme="3"/>
      </left>
      <right/>
      <top style="medium">
        <color theme="3"/>
      </top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4" tint="0.79998168889431442"/>
      </left>
      <right style="medium">
        <color theme="4" tint="0.79998168889431442"/>
      </right>
      <top style="medium">
        <color theme="4" tint="0.79998168889431442"/>
      </top>
      <bottom style="medium">
        <color theme="4" tint="0.79998168889431442"/>
      </bottom>
      <diagonal/>
    </border>
    <border>
      <left/>
      <right style="medium">
        <color theme="4" tint="0.79998168889431442"/>
      </right>
      <top style="medium">
        <color theme="4" tint="0.79998168889431442"/>
      </top>
      <bottom style="medium">
        <color theme="4" tint="0.79998168889431442"/>
      </bottom>
      <diagonal/>
    </border>
    <border>
      <left/>
      <right style="medium">
        <color theme="4" tint="0.79998168889431442"/>
      </right>
      <top/>
      <bottom/>
      <diagonal/>
    </border>
    <border>
      <left style="medium">
        <color theme="4" tint="0.79998168889431442"/>
      </left>
      <right/>
      <top style="medium">
        <color theme="4" tint="0.79998168889431442"/>
      </top>
      <bottom/>
      <diagonal/>
    </border>
    <border>
      <left/>
      <right style="medium">
        <color theme="4" tint="0.79998168889431442"/>
      </right>
      <top/>
      <bottom style="medium">
        <color theme="4" tint="0.79998168889431442"/>
      </bottom>
      <diagonal/>
    </border>
    <border>
      <left/>
      <right style="medium">
        <color theme="4" tint="0.79998168889431442"/>
      </right>
      <top style="medium">
        <color theme="4" tint="0.79998168889431442"/>
      </top>
      <bottom/>
      <diagonal/>
    </border>
    <border>
      <left style="medium">
        <color theme="4" tint="0.79998168889431442"/>
      </left>
      <right style="medium">
        <color theme="4" tint="0.79998168889431442"/>
      </right>
      <top/>
      <bottom style="medium">
        <color theme="4" tint="0.79998168889431442"/>
      </bottom>
      <diagonal/>
    </border>
    <border>
      <left style="medium">
        <color theme="4" tint="0.79998168889431442"/>
      </left>
      <right style="medium">
        <color theme="4" tint="0.79998168889431442"/>
      </right>
      <top/>
      <bottom/>
      <diagonal/>
    </border>
    <border>
      <left style="medium">
        <color theme="4" tint="0.79998168889431442"/>
      </left>
      <right style="medium">
        <color theme="4" tint="0.79998168889431442"/>
      </right>
      <top style="medium">
        <color theme="4" tint="0.79998168889431442"/>
      </top>
      <bottom/>
      <diagonal/>
    </border>
    <border>
      <left style="medium">
        <color theme="3"/>
      </left>
      <right style="medium">
        <color theme="4" tint="0.79998168889431442"/>
      </right>
      <top style="medium">
        <color theme="3"/>
      </top>
      <bottom style="medium">
        <color theme="3"/>
      </bottom>
      <diagonal/>
    </border>
    <border>
      <left style="medium">
        <color theme="4" tint="0.7999816888943144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4" tint="0.79998168889431442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4" tint="0.79998168889431442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/>
      <bottom/>
      <diagonal/>
    </border>
    <border>
      <left/>
      <right/>
      <top style="medium">
        <color theme="6" tint="0.79998168889431442"/>
      </top>
      <bottom style="medium">
        <color theme="6" tint="0.79998168889431442"/>
      </bottom>
      <diagonal/>
    </border>
    <border>
      <left/>
      <right style="medium">
        <color theme="6" tint="0.79998168889431442"/>
      </right>
      <top style="medium">
        <color theme="3"/>
      </top>
      <bottom style="medium">
        <color theme="3"/>
      </bottom>
      <diagonal/>
    </border>
    <border>
      <left style="medium">
        <color theme="4" tint="0.79998168889431442"/>
      </left>
      <right style="medium">
        <color theme="6" tint="0.79998168889431442"/>
      </right>
      <top style="medium">
        <color theme="3"/>
      </top>
      <bottom/>
      <diagonal/>
    </border>
    <border>
      <left/>
      <right style="medium">
        <color theme="6" tint="0.79998168889431442"/>
      </right>
      <top style="medium">
        <color theme="6" tint="0.79998168889431442"/>
      </top>
      <bottom style="medium">
        <color theme="6" tint="0.79998168889431442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8168889431442"/>
      </top>
      <bottom style="medium">
        <color theme="6" tint="0.79998168889431442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8168889431442"/>
      </top>
      <bottom/>
      <diagonal/>
    </border>
    <border>
      <left style="medium">
        <color theme="6" tint="0.79998168889431442"/>
      </left>
      <right style="medium">
        <color theme="6" tint="0.79998168889431442"/>
      </right>
      <top/>
      <bottom style="medium">
        <color theme="4" tint="0.79998168889431442"/>
      </bottom>
      <diagonal/>
    </border>
    <border>
      <left style="medium">
        <color theme="6" tint="0.79998168889431442"/>
      </left>
      <right style="medium">
        <color theme="6" tint="0.79998168889431442"/>
      </right>
      <top/>
      <bottom style="medium">
        <color theme="6" tint="0.79998168889431442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4" tint="0.79998168889431442"/>
      </top>
      <bottom style="medium">
        <color theme="6" tint="0.79998168889431442"/>
      </bottom>
      <diagonal/>
    </border>
    <border>
      <left/>
      <right style="medium">
        <color theme="6" tint="0.79998168889431442"/>
      </right>
      <top/>
      <bottom style="medium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4" tint="0.79998168889431442"/>
      </top>
      <bottom style="medium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/>
      <bottom/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8168889431442"/>
      </top>
      <bottom style="medium">
        <color theme="4" tint="0.79998168889431442"/>
      </bottom>
      <diagonal/>
    </border>
    <border>
      <left style="medium">
        <color theme="6" tint="0.79998168889431442"/>
      </left>
      <right/>
      <top/>
      <bottom/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3"/>
      </top>
      <bottom style="medium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3"/>
      </top>
      <bottom/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8168889431442"/>
      </top>
      <bottom style="medium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3"/>
      </top>
      <bottom style="medium">
        <color theme="6" tint="0.79998168889431442"/>
      </bottom>
      <diagonal/>
    </border>
    <border>
      <left style="medium">
        <color theme="4" tint="0.79998168889431442"/>
      </left>
      <right style="medium">
        <color theme="6" tint="0.79998168889431442"/>
      </right>
      <top/>
      <bottom style="medium">
        <color theme="3"/>
      </bottom>
      <diagonal/>
    </border>
    <border>
      <left style="medium">
        <color theme="6" tint="0.79998168889431442"/>
      </left>
      <right style="medium">
        <color theme="4" tint="0.79998168889431442"/>
      </right>
      <top style="medium">
        <color theme="3"/>
      </top>
      <bottom style="medium">
        <color theme="3"/>
      </bottom>
      <diagonal/>
    </border>
    <border>
      <left/>
      <right style="medium">
        <color theme="6" tint="0.79998168889431442"/>
      </right>
      <top/>
      <bottom/>
      <diagonal/>
    </border>
    <border>
      <left style="medium">
        <color theme="6" tint="0.7999816888943144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6" tint="0.79998168889431442"/>
      </left>
      <right/>
      <top style="medium">
        <color theme="3"/>
      </top>
      <bottom style="medium">
        <color theme="3"/>
      </bottom>
      <diagonal/>
    </border>
    <border>
      <left style="medium">
        <color theme="4" tint="0.79998168889431442"/>
      </left>
      <right style="medium">
        <color theme="3"/>
      </right>
      <top style="medium">
        <color theme="3"/>
      </top>
      <bottom style="medium">
        <color theme="6" tint="0.79998168889431442"/>
      </bottom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3"/>
      </left>
      <right style="medium">
        <color theme="6" tint="0.79998168889431442"/>
      </right>
      <top style="medium">
        <color theme="3"/>
      </top>
      <bottom style="medium">
        <color theme="3"/>
      </bottom>
      <diagonal/>
    </border>
    <border>
      <left/>
      <right style="medium">
        <color theme="6" tint="0.79998168889431442"/>
      </right>
      <top style="medium">
        <color theme="3"/>
      </top>
      <bottom/>
      <diagonal/>
    </border>
    <border>
      <left/>
      <right/>
      <top style="medium">
        <color theme="6" tint="0.79998168889431442"/>
      </top>
      <bottom/>
      <diagonal/>
    </border>
    <border>
      <left/>
      <right style="medium">
        <color theme="6" tint="0.79998168889431442"/>
      </right>
      <top style="medium">
        <color theme="6" tint="0.79998168889431442"/>
      </top>
      <bottom style="medium">
        <color theme="3"/>
      </bottom>
      <diagonal/>
    </border>
    <border>
      <left/>
      <right/>
      <top style="medium">
        <color theme="6" tint="0.79998168889431442"/>
      </top>
      <bottom style="medium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/>
      <right style="thin">
        <color theme="3"/>
      </right>
      <top style="thin">
        <color theme="3"/>
      </top>
      <bottom style="medium">
        <color theme="3"/>
      </bottom>
      <diagonal/>
    </border>
    <border>
      <left/>
      <right/>
      <top style="medium">
        <color theme="3"/>
      </top>
      <bottom style="thin">
        <color theme="3"/>
      </bottom>
      <diagonal/>
    </border>
    <border>
      <left/>
      <right style="thin">
        <color theme="3"/>
      </right>
      <top style="medium">
        <color theme="3"/>
      </top>
      <bottom style="thin">
        <color theme="3"/>
      </bottom>
      <diagonal/>
    </border>
    <border>
      <left/>
      <right/>
      <top style="thin">
        <color theme="2"/>
      </top>
      <bottom/>
      <diagonal/>
    </border>
    <border>
      <left style="thin">
        <color theme="3"/>
      </left>
      <right/>
      <top style="medium">
        <color theme="3"/>
      </top>
      <bottom style="medium">
        <color theme="3"/>
      </bottom>
      <diagonal/>
    </border>
    <border>
      <left style="thin">
        <color theme="3"/>
      </left>
      <right style="thin">
        <color theme="0"/>
      </right>
      <top style="medium">
        <color theme="3"/>
      </top>
      <bottom style="medium">
        <color theme="3"/>
      </bottom>
      <diagonal/>
    </border>
    <border>
      <left style="thin">
        <color theme="3"/>
      </left>
      <right style="thin">
        <color theme="0"/>
      </right>
      <top/>
      <bottom style="medium">
        <color theme="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 style="thin">
        <color theme="0"/>
      </right>
      <top/>
      <bottom style="thin">
        <color theme="3"/>
      </bottom>
      <diagonal/>
    </border>
    <border>
      <left style="thin">
        <color theme="0"/>
      </left>
      <right/>
      <top style="thin">
        <color theme="2"/>
      </top>
      <bottom/>
      <diagonal/>
    </border>
    <border>
      <left style="thin">
        <color theme="3"/>
      </left>
      <right/>
      <top style="medium">
        <color theme="3"/>
      </top>
      <bottom style="thin">
        <color theme="3"/>
      </bottom>
      <diagonal/>
    </border>
    <border>
      <left style="medium">
        <color theme="6" tint="0.79998168889431442"/>
      </left>
      <right style="medium">
        <color theme="6" tint="0.79998168889431442"/>
      </right>
      <top style="medium">
        <color theme="6" tint="0.79995117038483843"/>
      </top>
      <bottom style="medium">
        <color theme="6" tint="0.79995117038483843"/>
      </bottom>
      <diagonal/>
    </border>
  </borders>
  <cellStyleXfs count="2">
    <xf numFmtId="0" fontId="0" fillId="0" borderId="0"/>
    <xf numFmtId="164" fontId="11" fillId="0" borderId="0" applyFont="0" applyFill="0" applyBorder="0" applyProtection="0">
      <alignment horizontal="left" vertical="center" indent="1"/>
    </xf>
  </cellStyleXfs>
  <cellXfs count="189">
    <xf numFmtId="0" fontId="0" fillId="0" borderId="0" xfId="0"/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4" fillId="0" borderId="17" xfId="0" applyFont="1" applyBorder="1" applyAlignment="1">
      <alignment horizontal="left" vertical="center"/>
    </xf>
    <xf numFmtId="0" fontId="9" fillId="5" borderId="24" xfId="0" applyFont="1" applyFill="1" applyBorder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9" fillId="5" borderId="3" xfId="0" applyFont="1" applyFill="1" applyBorder="1" applyAlignment="1">
      <alignment horizontal="left" vertical="center" indent="1"/>
    </xf>
    <xf numFmtId="0" fontId="9" fillId="5" borderId="26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center" wrapText="1"/>
    </xf>
    <xf numFmtId="0" fontId="9" fillId="5" borderId="27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30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/>
    </xf>
    <xf numFmtId="0" fontId="9" fillId="5" borderId="51" xfId="0" applyFont="1" applyFill="1" applyBorder="1" applyAlignment="1">
      <alignment horizontal="center" vertical="center"/>
    </xf>
    <xf numFmtId="0" fontId="9" fillId="5" borderId="53" xfId="0" applyFont="1" applyFill="1" applyBorder="1" applyAlignment="1">
      <alignment horizontal="left" vertical="center" indent="1"/>
    </xf>
    <xf numFmtId="0" fontId="9" fillId="5" borderId="54" xfId="0" applyFont="1" applyFill="1" applyBorder="1" applyAlignment="1">
      <alignment horizontal="left" vertical="center" indent="1"/>
    </xf>
    <xf numFmtId="0" fontId="9" fillId="5" borderId="43" xfId="0" applyFont="1" applyFill="1" applyBorder="1" applyAlignment="1">
      <alignment horizontal="center" vertical="center"/>
    </xf>
    <xf numFmtId="0" fontId="2" fillId="0" borderId="49" xfId="0" applyFont="1" applyBorder="1" applyAlignment="1">
      <alignment horizontal="left" vertical="center"/>
    </xf>
    <xf numFmtId="0" fontId="4" fillId="0" borderId="49" xfId="0" applyFont="1" applyBorder="1" applyAlignment="1">
      <alignment horizontal="left" vertical="center"/>
    </xf>
    <xf numFmtId="0" fontId="9" fillId="5" borderId="45" xfId="0" applyFont="1" applyFill="1" applyBorder="1" applyAlignment="1">
      <alignment vertical="center"/>
    </xf>
    <xf numFmtId="0" fontId="8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1" xfId="0" applyFont="1" applyBorder="1" applyAlignment="1">
      <alignment horizontal="left" vertical="center" indent="1" shrinkToFit="1"/>
    </xf>
    <xf numFmtId="0" fontId="8" fillId="3" borderId="22" xfId="0" applyFont="1" applyFill="1" applyBorder="1" applyAlignment="1">
      <alignment horizontal="left" vertical="center" indent="1" shrinkToFit="1"/>
    </xf>
    <xf numFmtId="0" fontId="8" fillId="0" borderId="23" xfId="0" applyFont="1" applyBorder="1" applyAlignment="1">
      <alignment horizontal="left" vertical="center" indent="1" shrinkToFit="1"/>
    </xf>
    <xf numFmtId="0" fontId="8" fillId="3" borderId="15" xfId="0" applyFont="1" applyFill="1" applyBorder="1" applyAlignment="1">
      <alignment horizontal="left" vertical="center" indent="1" shrinkToFit="1"/>
    </xf>
    <xf numFmtId="0" fontId="8" fillId="0" borderId="22" xfId="0" applyFont="1" applyBorder="1" applyAlignment="1">
      <alignment horizontal="left" vertical="center" indent="1" shrinkToFit="1"/>
    </xf>
    <xf numFmtId="0" fontId="8" fillId="4" borderId="17" xfId="0" applyFont="1" applyFill="1" applyBorder="1" applyAlignment="1">
      <alignment horizontal="left" vertical="center" indent="1"/>
    </xf>
    <xf numFmtId="0" fontId="8" fillId="0" borderId="40" xfId="0" applyFont="1" applyBorder="1" applyAlignment="1">
      <alignment horizontal="left" vertical="center" indent="1" shrinkToFit="1"/>
    </xf>
    <xf numFmtId="0" fontId="8" fillId="7" borderId="33" xfId="0" applyFont="1" applyFill="1" applyBorder="1" applyAlignment="1">
      <alignment horizontal="left" vertical="center" indent="1" shrinkToFit="1"/>
    </xf>
    <xf numFmtId="0" fontId="8" fillId="0" borderId="35" xfId="0" applyFont="1" applyBorder="1" applyAlignment="1">
      <alignment horizontal="left" vertical="center" indent="1" shrinkToFit="1"/>
    </xf>
    <xf numFmtId="0" fontId="8" fillId="7" borderId="39" xfId="0" applyFont="1" applyFill="1" applyBorder="1" applyAlignment="1">
      <alignment horizontal="left" vertical="center" indent="1" shrinkToFit="1"/>
    </xf>
    <xf numFmtId="0" fontId="8" fillId="0" borderId="17" xfId="0" applyFont="1" applyBorder="1" applyAlignment="1">
      <alignment horizontal="left" vertical="center" indent="1"/>
    </xf>
    <xf numFmtId="0" fontId="8" fillId="0" borderId="15" xfId="0" applyFont="1" applyBorder="1" applyAlignment="1">
      <alignment horizontal="left" vertical="center" indent="1" shrinkToFit="1"/>
    </xf>
    <xf numFmtId="0" fontId="8" fillId="3" borderId="21" xfId="0" applyFont="1" applyFill="1" applyBorder="1" applyAlignment="1">
      <alignment horizontal="left" vertical="center" indent="1" shrinkToFit="1"/>
    </xf>
    <xf numFmtId="0" fontId="8" fillId="7" borderId="34" xfId="0" applyFont="1" applyFill="1" applyBorder="1" applyAlignment="1">
      <alignment horizontal="left" vertical="center" indent="1" shrinkToFit="1"/>
    </xf>
    <xf numFmtId="0" fontId="8" fillId="0" borderId="34" xfId="0" applyFont="1" applyBorder="1" applyAlignment="1">
      <alignment horizontal="left" vertical="center" indent="1" shrinkToFit="1"/>
    </xf>
    <xf numFmtId="0" fontId="8" fillId="0" borderId="33" xfId="0" applyFont="1" applyBorder="1" applyAlignment="1">
      <alignment horizontal="left" vertical="center" indent="1" shrinkToFit="1"/>
    </xf>
    <xf numFmtId="0" fontId="8" fillId="7" borderId="45" xfId="0" applyFont="1" applyFill="1" applyBorder="1" applyAlignment="1">
      <alignment horizontal="left" vertical="center" indent="1" shrinkToFit="1"/>
    </xf>
    <xf numFmtId="0" fontId="8" fillId="3" borderId="17" xfId="0" applyFont="1" applyFill="1" applyBorder="1" applyAlignment="1">
      <alignment horizontal="left" vertical="center" indent="1" shrinkToFit="1"/>
    </xf>
    <xf numFmtId="0" fontId="8" fillId="0" borderId="11" xfId="0" applyFont="1" applyBorder="1" applyAlignment="1">
      <alignment horizontal="left" vertical="center" indent="1" shrinkToFit="1"/>
    </xf>
    <xf numFmtId="0" fontId="8" fillId="7" borderId="56" xfId="0" applyFont="1" applyFill="1" applyBorder="1" applyAlignment="1">
      <alignment horizontal="left" vertical="center" indent="1" shrinkToFit="1"/>
    </xf>
    <xf numFmtId="0" fontId="8" fillId="0" borderId="29" xfId="0" applyFont="1" applyBorder="1" applyAlignment="1">
      <alignment horizontal="left" vertical="center" indent="1" shrinkToFit="1"/>
    </xf>
    <xf numFmtId="0" fontId="8" fillId="7" borderId="7" xfId="0" applyFont="1" applyFill="1" applyBorder="1" applyAlignment="1">
      <alignment horizontal="left" vertical="center" indent="1" shrinkToFit="1"/>
    </xf>
    <xf numFmtId="0" fontId="8" fillId="0" borderId="17" xfId="0" applyFont="1" applyBorder="1" applyAlignment="1">
      <alignment horizontal="center" vertical="center"/>
    </xf>
    <xf numFmtId="0" fontId="8" fillId="0" borderId="55" xfId="0" applyFont="1" applyBorder="1" applyAlignment="1">
      <alignment horizontal="left" vertical="center" indent="1" shrinkToFit="1"/>
    </xf>
    <xf numFmtId="0" fontId="8" fillId="0" borderId="49" xfId="0" applyFont="1" applyBorder="1" applyAlignment="1">
      <alignment horizontal="left" vertical="center" indent="1" shrinkToFit="1"/>
    </xf>
    <xf numFmtId="0" fontId="8" fillId="0" borderId="19" xfId="0" applyFont="1" applyBorder="1" applyAlignment="1">
      <alignment horizontal="left" vertical="center" indent="1" shrinkToFit="1"/>
    </xf>
    <xf numFmtId="0" fontId="8" fillId="0" borderId="20" xfId="0" applyFont="1" applyBorder="1" applyAlignment="1">
      <alignment horizontal="left" vertical="center" indent="1" shrinkToFit="1"/>
    </xf>
    <xf numFmtId="0" fontId="8" fillId="0" borderId="42" xfId="0" applyFont="1" applyBorder="1" applyAlignment="1">
      <alignment horizontal="left" vertical="center" indent="1" shrinkToFit="1"/>
    </xf>
    <xf numFmtId="0" fontId="8" fillId="0" borderId="45" xfId="0" applyFont="1" applyBorder="1" applyAlignment="1">
      <alignment horizontal="left" vertical="center" indent="1" shrinkToFit="1"/>
    </xf>
    <xf numFmtId="0" fontId="8" fillId="7" borderId="32" xfId="0" applyFont="1" applyFill="1" applyBorder="1" applyAlignment="1">
      <alignment horizontal="left" vertical="center" indent="1" shrinkToFit="1"/>
    </xf>
    <xf numFmtId="0" fontId="8" fillId="7" borderId="57" xfId="0" applyFont="1" applyFill="1" applyBorder="1" applyAlignment="1">
      <alignment horizontal="left" vertical="center" indent="1" shrinkToFit="1"/>
    </xf>
    <xf numFmtId="0" fontId="0" fillId="0" borderId="7" xfId="0" applyBorder="1"/>
    <xf numFmtId="0" fontId="8" fillId="0" borderId="23" xfId="0" applyFont="1" applyBorder="1" applyAlignment="1">
      <alignment horizontal="left" vertical="center" indent="1"/>
    </xf>
    <xf numFmtId="0" fontId="7" fillId="5" borderId="2" xfId="0" applyFont="1" applyFill="1" applyBorder="1" applyAlignment="1">
      <alignment horizontal="left" vertical="center" indent="1" shrinkToFit="1"/>
    </xf>
    <xf numFmtId="0" fontId="3" fillId="2" borderId="11" xfId="0" applyFont="1" applyFill="1" applyBorder="1" applyAlignment="1">
      <alignment vertical="center" wrapText="1"/>
    </xf>
    <xf numFmtId="0" fontId="0" fillId="0" borderId="5" xfId="0" applyBorder="1"/>
    <xf numFmtId="0" fontId="3" fillId="2" borderId="0" xfId="0" applyFont="1" applyFill="1" applyAlignment="1">
      <alignment vertical="center" wrapText="1"/>
    </xf>
    <xf numFmtId="0" fontId="7" fillId="5" borderId="67" xfId="0" applyFont="1" applyFill="1" applyBorder="1" applyAlignment="1">
      <alignment horizontal="left" vertical="center" indent="1" shrinkToFit="1"/>
    </xf>
    <xf numFmtId="164" fontId="3" fillId="8" borderId="65" xfId="1" applyFont="1" applyFill="1" applyBorder="1">
      <alignment horizontal="left" vertical="center" indent="1"/>
    </xf>
    <xf numFmtId="164" fontId="2" fillId="6" borderId="69" xfId="1" applyFont="1" applyFill="1" applyBorder="1">
      <alignment horizontal="left" vertical="center" indent="1"/>
    </xf>
    <xf numFmtId="164" fontId="2" fillId="7" borderId="66" xfId="1" applyFont="1" applyFill="1" applyBorder="1">
      <alignment horizontal="left" vertical="center" indent="1"/>
    </xf>
    <xf numFmtId="164" fontId="11" fillId="7" borderId="0" xfId="1" applyFont="1" applyFill="1">
      <alignment horizontal="left" vertical="center" indent="1"/>
    </xf>
    <xf numFmtId="0" fontId="7" fillId="5" borderId="70" xfId="0" applyFont="1" applyFill="1" applyBorder="1" applyAlignment="1">
      <alignment horizontal="left" vertical="center" indent="1" shrinkToFit="1"/>
    </xf>
    <xf numFmtId="0" fontId="7" fillId="5" borderId="63" xfId="0" applyFont="1" applyFill="1" applyBorder="1" applyAlignment="1">
      <alignment horizontal="left" vertical="center" indent="1" shrinkToFit="1"/>
    </xf>
    <xf numFmtId="164" fontId="12" fillId="8" borderId="64" xfId="1" applyFont="1" applyFill="1" applyBorder="1">
      <alignment horizontal="left" vertical="center" indent="1"/>
    </xf>
    <xf numFmtId="164" fontId="11" fillId="6" borderId="71" xfId="1" applyFont="1" applyFill="1" applyBorder="1">
      <alignment horizontal="left" vertical="center" indent="1"/>
    </xf>
    <xf numFmtId="165" fontId="8" fillId="6" borderId="6" xfId="0" applyNumberFormat="1" applyFont="1" applyFill="1" applyBorder="1" applyAlignment="1">
      <alignment horizontal="left" vertical="center" indent="1"/>
    </xf>
    <xf numFmtId="165" fontId="8" fillId="7" borderId="8" xfId="0" applyNumberFormat="1" applyFont="1" applyFill="1" applyBorder="1" applyAlignment="1">
      <alignment horizontal="left" vertical="center" indent="1"/>
    </xf>
    <xf numFmtId="165" fontId="6" fillId="8" borderId="5" xfId="0" applyNumberFormat="1" applyFont="1" applyFill="1" applyBorder="1" applyAlignment="1">
      <alignment horizontal="left" vertical="center" indent="1"/>
    </xf>
    <xf numFmtId="165" fontId="2" fillId="6" borderId="0" xfId="0" applyNumberFormat="1" applyFont="1" applyFill="1" applyAlignment="1">
      <alignment horizontal="left" vertical="center" indent="1"/>
    </xf>
    <xf numFmtId="165" fontId="2" fillId="7" borderId="8" xfId="0" applyNumberFormat="1" applyFont="1" applyFill="1" applyBorder="1" applyAlignment="1">
      <alignment horizontal="left" vertical="center" indent="1"/>
    </xf>
    <xf numFmtId="165" fontId="3" fillId="8" borderId="12" xfId="0" applyNumberFormat="1" applyFont="1" applyFill="1" applyBorder="1" applyAlignment="1">
      <alignment horizontal="left" vertical="center" indent="1"/>
    </xf>
    <xf numFmtId="0" fontId="9" fillId="5" borderId="22" xfId="0" applyFont="1" applyFill="1" applyBorder="1" applyAlignment="1">
      <alignment horizontal="left" vertical="center" indent="1"/>
    </xf>
    <xf numFmtId="0" fontId="8" fillId="4" borderId="22" xfId="0" applyFont="1" applyFill="1" applyBorder="1" applyAlignment="1">
      <alignment horizontal="left" vertical="center" indent="1"/>
    </xf>
    <xf numFmtId="166" fontId="8" fillId="0" borderId="46" xfId="0" applyNumberFormat="1" applyFont="1" applyBorder="1" applyAlignment="1">
      <alignment horizontal="right" vertical="center" indent="1"/>
    </xf>
    <xf numFmtId="166" fontId="8" fillId="0" borderId="0" xfId="0" applyNumberFormat="1" applyFont="1" applyAlignment="1">
      <alignment horizontal="right" vertical="center" indent="1"/>
    </xf>
    <xf numFmtId="166" fontId="8" fillId="0" borderId="31" xfId="0" applyNumberFormat="1" applyFont="1" applyBorder="1" applyAlignment="1">
      <alignment horizontal="right" vertical="center" indent="1"/>
    </xf>
    <xf numFmtId="166" fontId="8" fillId="7" borderId="33" xfId="0" applyNumberFormat="1" applyFont="1" applyFill="1" applyBorder="1" applyAlignment="1">
      <alignment horizontal="right" vertical="center" indent="1"/>
    </xf>
    <xf numFmtId="166" fontId="8" fillId="0" borderId="33" xfId="0" applyNumberFormat="1" applyFont="1" applyBorder="1" applyAlignment="1">
      <alignment horizontal="right" vertical="center" indent="1"/>
    </xf>
    <xf numFmtId="166" fontId="8" fillId="0" borderId="40" xfId="0" applyNumberFormat="1" applyFont="1" applyBorder="1" applyAlignment="1">
      <alignment horizontal="right" vertical="center" indent="1"/>
    </xf>
    <xf numFmtId="166" fontId="8" fillId="7" borderId="36" xfId="0" applyNumberFormat="1" applyFont="1" applyFill="1" applyBorder="1" applyAlignment="1">
      <alignment horizontal="right" vertical="center" indent="1"/>
    </xf>
    <xf numFmtId="166" fontId="8" fillId="7" borderId="34" xfId="0" applyNumberFormat="1" applyFont="1" applyFill="1" applyBorder="1" applyAlignment="1">
      <alignment horizontal="right" vertical="center" indent="1"/>
    </xf>
    <xf numFmtId="166" fontId="8" fillId="7" borderId="40" xfId="0" applyNumberFormat="1" applyFont="1" applyFill="1" applyBorder="1" applyAlignment="1">
      <alignment horizontal="right" vertical="center" indent="1"/>
    </xf>
    <xf numFmtId="166" fontId="8" fillId="0" borderId="41" xfId="0" applyNumberFormat="1" applyFont="1" applyBorder="1" applyAlignment="1">
      <alignment horizontal="right" vertical="center" indent="1"/>
    </xf>
    <xf numFmtId="166" fontId="8" fillId="7" borderId="39" xfId="0" applyNumberFormat="1" applyFont="1" applyFill="1" applyBorder="1" applyAlignment="1">
      <alignment horizontal="right" vertical="center" indent="1"/>
    </xf>
    <xf numFmtId="166" fontId="8" fillId="7" borderId="38" xfId="0" applyNumberFormat="1" applyFont="1" applyFill="1" applyBorder="1" applyAlignment="1">
      <alignment horizontal="right" vertical="center" indent="1"/>
    </xf>
    <xf numFmtId="166" fontId="9" fillId="5" borderId="51" xfId="0" applyNumberFormat="1" applyFont="1" applyFill="1" applyBorder="1" applyAlignment="1">
      <alignment horizontal="right" vertical="center" indent="1"/>
    </xf>
    <xf numFmtId="166" fontId="9" fillId="5" borderId="43" xfId="0" applyNumberFormat="1" applyFont="1" applyFill="1" applyBorder="1" applyAlignment="1">
      <alignment horizontal="right" vertical="center" indent="1"/>
    </xf>
    <xf numFmtId="166" fontId="9" fillId="5" borderId="50" xfId="0" applyNumberFormat="1" applyFont="1" applyFill="1" applyBorder="1" applyAlignment="1">
      <alignment horizontal="right" vertical="center" indent="1"/>
    </xf>
    <xf numFmtId="166" fontId="8" fillId="0" borderId="21" xfId="0" applyNumberFormat="1" applyFont="1" applyBorder="1" applyAlignment="1">
      <alignment horizontal="right" vertical="center" indent="1"/>
    </xf>
    <xf numFmtId="166" fontId="8" fillId="3" borderId="15" xfId="0" applyNumberFormat="1" applyFont="1" applyFill="1" applyBorder="1" applyAlignment="1">
      <alignment horizontal="right" vertical="center" indent="1"/>
    </xf>
    <xf numFmtId="166" fontId="8" fillId="0" borderId="15" xfId="0" applyNumberFormat="1" applyFont="1" applyBorder="1" applyAlignment="1">
      <alignment horizontal="right" vertical="center" indent="1"/>
    </xf>
    <xf numFmtId="166" fontId="8" fillId="3" borderId="22" xfId="0" applyNumberFormat="1" applyFont="1" applyFill="1" applyBorder="1" applyAlignment="1">
      <alignment horizontal="right" vertical="center" indent="1"/>
    </xf>
    <xf numFmtId="166" fontId="8" fillId="0" borderId="16" xfId="0" applyNumberFormat="1" applyFont="1" applyBorder="1" applyAlignment="1">
      <alignment horizontal="right" vertical="center" indent="1"/>
    </xf>
    <xf numFmtId="166" fontId="8" fillId="3" borderId="21" xfId="0" applyNumberFormat="1" applyFont="1" applyFill="1" applyBorder="1" applyAlignment="1">
      <alignment horizontal="right" vertical="center" indent="1"/>
    </xf>
    <xf numFmtId="166" fontId="8" fillId="3" borderId="19" xfId="0" applyNumberFormat="1" applyFont="1" applyFill="1" applyBorder="1" applyAlignment="1">
      <alignment horizontal="right" vertical="center" indent="1"/>
    </xf>
    <xf numFmtId="166" fontId="8" fillId="0" borderId="22" xfId="0" applyNumberFormat="1" applyFont="1" applyBorder="1" applyAlignment="1">
      <alignment horizontal="right" vertical="center" indent="1"/>
    </xf>
    <xf numFmtId="166" fontId="8" fillId="0" borderId="17" xfId="0" applyNumberFormat="1" applyFont="1" applyBorder="1" applyAlignment="1">
      <alignment horizontal="right" vertical="center" indent="1"/>
    </xf>
    <xf numFmtId="166" fontId="8" fillId="3" borderId="16" xfId="0" applyNumberFormat="1" applyFont="1" applyFill="1" applyBorder="1" applyAlignment="1">
      <alignment horizontal="right" vertical="center" indent="1"/>
    </xf>
    <xf numFmtId="166" fontId="8" fillId="0" borderId="19" xfId="0" applyNumberFormat="1" applyFont="1" applyBorder="1" applyAlignment="1">
      <alignment horizontal="right" vertical="center" indent="1"/>
    </xf>
    <xf numFmtId="166" fontId="6" fillId="4" borderId="23" xfId="0" applyNumberFormat="1" applyFont="1" applyFill="1" applyBorder="1" applyAlignment="1">
      <alignment horizontal="right" vertical="center" indent="1"/>
    </xf>
    <xf numFmtId="166" fontId="8" fillId="4" borderId="23" xfId="0" applyNumberFormat="1" applyFont="1" applyFill="1" applyBorder="1" applyAlignment="1">
      <alignment horizontal="right" vertical="center" indent="1"/>
    </xf>
    <xf numFmtId="166" fontId="8" fillId="4" borderId="18" xfId="0" applyNumberFormat="1" applyFont="1" applyFill="1" applyBorder="1" applyAlignment="1">
      <alignment horizontal="right" vertical="center" indent="1"/>
    </xf>
    <xf numFmtId="166" fontId="8" fillId="0" borderId="21" xfId="0" applyNumberFormat="1" applyFont="1" applyBorder="1" applyAlignment="1">
      <alignment horizontal="right" vertical="center"/>
    </xf>
    <xf numFmtId="166" fontId="8" fillId="3" borderId="22" xfId="0" applyNumberFormat="1" applyFont="1" applyFill="1" applyBorder="1" applyAlignment="1">
      <alignment horizontal="right" vertical="center"/>
    </xf>
    <xf numFmtId="166" fontId="8" fillId="0" borderId="15" xfId="0" applyNumberFormat="1" applyFont="1" applyBorder="1" applyAlignment="1">
      <alignment horizontal="right" vertical="center"/>
    </xf>
    <xf numFmtId="166" fontId="8" fillId="3" borderId="21" xfId="0" applyNumberFormat="1" applyFont="1" applyFill="1" applyBorder="1" applyAlignment="1">
      <alignment horizontal="right" vertical="center"/>
    </xf>
    <xf numFmtId="166" fontId="8" fillId="0" borderId="22" xfId="0" applyNumberFormat="1" applyFont="1" applyBorder="1" applyAlignment="1">
      <alignment horizontal="right" vertical="center"/>
    </xf>
    <xf numFmtId="166" fontId="8" fillId="0" borderId="23" xfId="0" applyNumberFormat="1" applyFont="1" applyBorder="1" applyAlignment="1">
      <alignment horizontal="right" vertical="center"/>
    </xf>
    <xf numFmtId="166" fontId="8" fillId="4" borderId="22" xfId="0" applyNumberFormat="1" applyFont="1" applyFill="1" applyBorder="1" applyAlignment="1">
      <alignment horizontal="right" vertical="center"/>
    </xf>
    <xf numFmtId="166" fontId="8" fillId="0" borderId="46" xfId="0" applyNumberFormat="1" applyFont="1" applyBorder="1" applyAlignment="1">
      <alignment horizontal="right" vertical="center"/>
    </xf>
    <xf numFmtId="166" fontId="8" fillId="0" borderId="40" xfId="0" applyNumberFormat="1" applyFont="1" applyBorder="1" applyAlignment="1">
      <alignment horizontal="right" vertical="center"/>
    </xf>
    <xf numFmtId="166" fontId="8" fillId="0" borderId="44" xfId="0" applyNumberFormat="1" applyFont="1" applyBorder="1" applyAlignment="1">
      <alignment horizontal="right" vertical="center"/>
    </xf>
    <xf numFmtId="166" fontId="8" fillId="7" borderId="33" xfId="0" applyNumberFormat="1" applyFont="1" applyFill="1" applyBorder="1" applyAlignment="1">
      <alignment horizontal="right" vertical="center"/>
    </xf>
    <xf numFmtId="166" fontId="8" fillId="7" borderId="34" xfId="0" applyNumberFormat="1" applyFont="1" applyFill="1" applyBorder="1" applyAlignment="1">
      <alignment horizontal="right" vertical="center"/>
    </xf>
    <xf numFmtId="166" fontId="8" fillId="0" borderId="42" xfId="0" applyNumberFormat="1" applyFont="1" applyBorder="1" applyAlignment="1">
      <alignment horizontal="right" vertical="center"/>
    </xf>
    <xf numFmtId="166" fontId="8" fillId="0" borderId="33" xfId="0" applyNumberFormat="1" applyFont="1" applyBorder="1" applyAlignment="1">
      <alignment horizontal="right" vertical="center"/>
    </xf>
    <xf numFmtId="166" fontId="8" fillId="0" borderId="34" xfId="0" applyNumberFormat="1" applyFont="1" applyBorder="1" applyAlignment="1">
      <alignment horizontal="right" vertical="center"/>
    </xf>
    <xf numFmtId="166" fontId="8" fillId="7" borderId="45" xfId="0" applyNumberFormat="1" applyFont="1" applyFill="1" applyBorder="1" applyAlignment="1">
      <alignment horizontal="right" vertical="center"/>
    </xf>
    <xf numFmtId="166" fontId="8" fillId="7" borderId="40" xfId="0" applyNumberFormat="1" applyFont="1" applyFill="1" applyBorder="1" applyAlignment="1">
      <alignment horizontal="right" vertical="center"/>
    </xf>
    <xf numFmtId="166" fontId="9" fillId="5" borderId="51" xfId="0" applyNumberFormat="1" applyFont="1" applyFill="1" applyBorder="1" applyAlignment="1">
      <alignment horizontal="right" vertical="center"/>
    </xf>
    <xf numFmtId="166" fontId="9" fillId="5" borderId="48" xfId="0" applyNumberFormat="1" applyFont="1" applyFill="1" applyBorder="1" applyAlignment="1">
      <alignment horizontal="right" vertical="center"/>
    </xf>
    <xf numFmtId="166" fontId="9" fillId="5" borderId="52" xfId="0" applyNumberFormat="1" applyFont="1" applyFill="1" applyBorder="1" applyAlignment="1">
      <alignment horizontal="right" vertical="center"/>
    </xf>
    <xf numFmtId="166" fontId="8" fillId="0" borderId="49" xfId="0" applyNumberFormat="1" applyFont="1" applyBorder="1" applyAlignment="1">
      <alignment horizontal="right" vertical="center"/>
    </xf>
    <xf numFmtId="166" fontId="8" fillId="7" borderId="41" xfId="0" applyNumberFormat="1" applyFont="1" applyFill="1" applyBorder="1" applyAlignment="1">
      <alignment horizontal="right" vertical="center"/>
    </xf>
    <xf numFmtId="166" fontId="8" fillId="7" borderId="35" xfId="0" applyNumberFormat="1" applyFont="1" applyFill="1" applyBorder="1" applyAlignment="1">
      <alignment horizontal="right" vertical="center"/>
    </xf>
    <xf numFmtId="166" fontId="8" fillId="0" borderId="37" xfId="0" applyNumberFormat="1" applyFont="1" applyBorder="1" applyAlignment="1">
      <alignment horizontal="right" vertical="center"/>
    </xf>
    <xf numFmtId="166" fontId="8" fillId="7" borderId="49" xfId="0" applyNumberFormat="1" applyFont="1" applyFill="1" applyBorder="1" applyAlignment="1">
      <alignment horizontal="right" vertical="center"/>
    </xf>
    <xf numFmtId="166" fontId="9" fillId="5" borderId="46" xfId="0" applyNumberFormat="1" applyFont="1" applyFill="1" applyBorder="1" applyAlignment="1">
      <alignment horizontal="right" vertical="center"/>
    </xf>
    <xf numFmtId="166" fontId="9" fillId="5" borderId="30" xfId="0" applyNumberFormat="1" applyFont="1" applyFill="1" applyBorder="1" applyAlignment="1">
      <alignment horizontal="right" vertical="center"/>
    </xf>
    <xf numFmtId="166" fontId="9" fillId="5" borderId="4" xfId="0" applyNumberFormat="1" applyFont="1" applyFill="1" applyBorder="1" applyAlignment="1">
      <alignment horizontal="right" vertical="center"/>
    </xf>
    <xf numFmtId="166" fontId="8" fillId="3" borderId="15" xfId="0" applyNumberFormat="1" applyFont="1" applyFill="1" applyBorder="1" applyAlignment="1">
      <alignment horizontal="right" vertical="center"/>
    </xf>
    <xf numFmtId="166" fontId="8" fillId="3" borderId="23" xfId="0" applyNumberFormat="1" applyFont="1" applyFill="1" applyBorder="1" applyAlignment="1">
      <alignment horizontal="right" vertical="center"/>
    </xf>
    <xf numFmtId="166" fontId="8" fillId="0" borderId="17" xfId="0" applyNumberFormat="1" applyFont="1" applyBorder="1" applyAlignment="1">
      <alignment horizontal="right" vertical="center"/>
    </xf>
    <xf numFmtId="166" fontId="8" fillId="3" borderId="16" xfId="0" applyNumberFormat="1" applyFont="1" applyFill="1" applyBorder="1" applyAlignment="1">
      <alignment horizontal="right" vertical="center"/>
    </xf>
    <xf numFmtId="166" fontId="8" fillId="4" borderId="17" xfId="0" applyNumberFormat="1" applyFont="1" applyFill="1" applyBorder="1" applyAlignment="1">
      <alignment horizontal="right" vertical="center"/>
    </xf>
    <xf numFmtId="166" fontId="8" fillId="0" borderId="31" xfId="0" applyNumberFormat="1" applyFont="1" applyBorder="1" applyAlignment="1">
      <alignment horizontal="right" vertical="center"/>
    </xf>
    <xf numFmtId="166" fontId="8" fillId="7" borderId="36" xfId="0" applyNumberFormat="1" applyFont="1" applyFill="1" applyBorder="1" applyAlignment="1">
      <alignment horizontal="right" vertical="center"/>
    </xf>
    <xf numFmtId="166" fontId="8" fillId="0" borderId="45" xfId="0" applyNumberFormat="1" applyFont="1" applyBorder="1" applyAlignment="1">
      <alignment horizontal="right" vertical="center"/>
    </xf>
    <xf numFmtId="166" fontId="8" fillId="0" borderId="47" xfId="0" applyNumberFormat="1" applyFont="1" applyBorder="1" applyAlignment="1">
      <alignment horizontal="right" vertical="center"/>
    </xf>
    <xf numFmtId="166" fontId="9" fillId="5" borderId="43" xfId="0" applyNumberFormat="1" applyFont="1" applyFill="1" applyBorder="1" applyAlignment="1">
      <alignment horizontal="right" vertical="center"/>
    </xf>
    <xf numFmtId="166" fontId="9" fillId="5" borderId="27" xfId="0" applyNumberFormat="1" applyFont="1" applyFill="1" applyBorder="1" applyAlignment="1">
      <alignment horizontal="right" vertical="center"/>
    </xf>
    <xf numFmtId="166" fontId="9" fillId="5" borderId="40" xfId="0" applyNumberFormat="1" applyFont="1" applyFill="1" applyBorder="1" applyAlignment="1">
      <alignment horizontal="right" vertical="center"/>
    </xf>
    <xf numFmtId="166" fontId="8" fillId="0" borderId="0" xfId="0" applyNumberFormat="1" applyFont="1" applyAlignment="1">
      <alignment horizontal="right" vertical="center"/>
    </xf>
    <xf numFmtId="166" fontId="8" fillId="4" borderId="0" xfId="0" applyNumberFormat="1" applyFont="1" applyFill="1" applyAlignment="1">
      <alignment horizontal="right" vertical="center"/>
    </xf>
    <xf numFmtId="166" fontId="8" fillId="7" borderId="29" xfId="0" applyNumberFormat="1" applyFont="1" applyFill="1" applyBorder="1" applyAlignment="1">
      <alignment horizontal="right" vertical="center"/>
    </xf>
    <xf numFmtId="166" fontId="8" fillId="7" borderId="58" xfId="0" applyNumberFormat="1" applyFont="1" applyFill="1" applyBorder="1" applyAlignment="1">
      <alignment horizontal="right" vertical="center"/>
    </xf>
    <xf numFmtId="166" fontId="9" fillId="5" borderId="0" xfId="0" applyNumberFormat="1" applyFont="1" applyFill="1" applyAlignment="1">
      <alignment horizontal="right" vertical="center"/>
    </xf>
    <xf numFmtId="166" fontId="8" fillId="0" borderId="36" xfId="0" applyNumberFormat="1" applyFont="1" applyBorder="1" applyAlignment="1">
      <alignment horizontal="right" vertical="center"/>
    </xf>
    <xf numFmtId="166" fontId="8" fillId="7" borderId="72" xfId="0" applyNumberFormat="1" applyFont="1" applyFill="1" applyBorder="1" applyAlignment="1">
      <alignment horizontal="right" vertical="center"/>
    </xf>
    <xf numFmtId="0" fontId="4" fillId="0" borderId="1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4" borderId="0" xfId="0" applyFont="1" applyFill="1" applyAlignment="1">
      <alignment horizontal="left" vertical="center" indent="1"/>
    </xf>
    <xf numFmtId="0" fontId="6" fillId="8" borderId="5" xfId="0" applyFont="1" applyFill="1" applyBorder="1" applyAlignment="1">
      <alignment horizontal="left" vertical="center" wrapText="1" indent="1"/>
    </xf>
    <xf numFmtId="0" fontId="6" fillId="8" borderId="10" xfId="0" applyFont="1" applyFill="1" applyBorder="1" applyAlignment="1">
      <alignment horizontal="left" vertical="center" wrapText="1" indent="1"/>
    </xf>
    <xf numFmtId="0" fontId="2" fillId="6" borderId="61" xfId="0" applyFont="1" applyFill="1" applyBorder="1" applyAlignment="1">
      <alignment horizontal="left" vertical="center" wrapText="1" indent="1"/>
    </xf>
    <xf numFmtId="0" fontId="2" fillId="6" borderId="62" xfId="0" applyFont="1" applyFill="1" applyBorder="1" applyAlignment="1">
      <alignment horizontal="left" vertical="center" wrapText="1" indent="1"/>
    </xf>
    <xf numFmtId="0" fontId="2" fillId="7" borderId="59" xfId="0" applyFont="1" applyFill="1" applyBorder="1" applyAlignment="1">
      <alignment horizontal="left" vertical="center" wrapText="1" indent="1"/>
    </xf>
    <xf numFmtId="0" fontId="2" fillId="7" borderId="60" xfId="0" applyFont="1" applyFill="1" applyBorder="1" applyAlignment="1">
      <alignment horizontal="left" vertical="center" wrapText="1" indent="1"/>
    </xf>
    <xf numFmtId="0" fontId="3" fillId="8" borderId="5" xfId="0" applyFont="1" applyFill="1" applyBorder="1" applyAlignment="1">
      <alignment horizontal="left" vertical="center" wrapText="1" indent="1"/>
    </xf>
    <xf numFmtId="0" fontId="3" fillId="8" borderId="10" xfId="0" applyFont="1" applyFill="1" applyBorder="1" applyAlignment="1">
      <alignment horizontal="left" vertical="center" wrapText="1" indent="1"/>
    </xf>
    <xf numFmtId="0" fontId="7" fillId="5" borderId="13" xfId="0" applyFont="1" applyFill="1" applyBorder="1" applyAlignment="1">
      <alignment horizontal="left" vertical="center" indent="1" shrinkToFit="1"/>
    </xf>
    <xf numFmtId="0" fontId="7" fillId="5" borderId="0" xfId="0" applyFont="1" applyFill="1" applyAlignment="1">
      <alignment horizontal="left" vertical="center" indent="1" shrinkToFit="1"/>
    </xf>
    <xf numFmtId="0" fontId="7" fillId="5" borderId="1" xfId="0" applyFont="1" applyFill="1" applyBorder="1" applyAlignment="1">
      <alignment horizontal="left" vertical="center" indent="1" shrinkToFit="1"/>
    </xf>
    <xf numFmtId="0" fontId="7" fillId="5" borderId="2" xfId="0" applyFont="1" applyFill="1" applyBorder="1" applyAlignment="1">
      <alignment horizontal="left" vertical="center" indent="1" shrinkToFit="1"/>
    </xf>
    <xf numFmtId="0" fontId="7" fillId="5" borderId="14" xfId="0" applyFont="1" applyFill="1" applyBorder="1" applyAlignment="1">
      <alignment horizontal="left" vertical="center" indent="1" shrinkToFit="1"/>
    </xf>
    <xf numFmtId="0" fontId="8" fillId="6" borderId="6" xfId="0" applyFont="1" applyFill="1" applyBorder="1" applyAlignment="1">
      <alignment horizontal="left" vertical="center" wrapText="1" indent="1"/>
    </xf>
    <xf numFmtId="0" fontId="8" fillId="6" borderId="9" xfId="0" applyFont="1" applyFill="1" applyBorder="1" applyAlignment="1">
      <alignment horizontal="left" vertical="center" wrapText="1" indent="1"/>
    </xf>
    <xf numFmtId="0" fontId="8" fillId="7" borderId="59" xfId="0" applyFont="1" applyFill="1" applyBorder="1" applyAlignment="1">
      <alignment horizontal="left" vertical="center" wrapText="1" indent="1"/>
    </xf>
    <xf numFmtId="0" fontId="8" fillId="7" borderId="60" xfId="0" applyFont="1" applyFill="1" applyBorder="1" applyAlignment="1">
      <alignment horizontal="left" vertical="center" wrapText="1" indent="1"/>
    </xf>
    <xf numFmtId="0" fontId="6" fillId="8" borderId="5" xfId="0" applyFont="1" applyFill="1" applyBorder="1" applyAlignment="1">
      <alignment horizontal="right" vertical="center" indent="1" shrinkToFit="1"/>
    </xf>
    <xf numFmtId="0" fontId="6" fillId="8" borderId="10" xfId="0" applyFont="1" applyFill="1" applyBorder="1" applyAlignment="1">
      <alignment horizontal="right" vertical="center" indent="1" shrinkToFit="1"/>
    </xf>
    <xf numFmtId="0" fontId="6" fillId="8" borderId="5" xfId="0" applyFont="1" applyFill="1" applyBorder="1" applyAlignment="1">
      <alignment horizontal="right" vertical="center" indent="6" shrinkToFit="1"/>
    </xf>
    <xf numFmtId="0" fontId="6" fillId="8" borderId="10" xfId="0" applyFont="1" applyFill="1" applyBorder="1" applyAlignment="1">
      <alignment horizontal="right" vertical="center" indent="6" shrinkToFit="1"/>
    </xf>
    <xf numFmtId="0" fontId="8" fillId="6" borderId="6" xfId="0" applyFont="1" applyFill="1" applyBorder="1" applyAlignment="1">
      <alignment horizontal="left" vertical="center" indent="1" shrinkToFit="1"/>
    </xf>
    <xf numFmtId="0" fontId="8" fillId="6" borderId="9" xfId="0" applyFont="1" applyFill="1" applyBorder="1" applyAlignment="1">
      <alignment horizontal="left" vertical="center" indent="1" shrinkToFit="1"/>
    </xf>
    <xf numFmtId="0" fontId="8" fillId="7" borderId="0" xfId="0" applyFont="1" applyFill="1" applyAlignment="1">
      <alignment horizontal="left" vertical="center" indent="1" shrinkToFit="1"/>
    </xf>
    <xf numFmtId="0" fontId="8" fillId="7" borderId="68" xfId="0" applyFont="1" applyFill="1" applyBorder="1" applyAlignment="1">
      <alignment horizontal="left" vertical="center" indent="1" shrinkToFit="1"/>
    </xf>
  </cellXfs>
  <cellStyles count="2">
    <cellStyle name="Currency" xfId="1" builtinId="4" customBuiltin="1"/>
    <cellStyle name="Normal" xfId="0" builtinId="0" customBuiltin="1"/>
  </cellStyles>
  <dxfs count="1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solid">
          <fgColor indexed="64"/>
          <bgColor theme="4"/>
        </patternFill>
      </fill>
      <alignment horizontal="right" vertical="center" textRotation="0" wrapText="0" indent="1" justifyLastLine="0" shrinkToFit="0" readingOrder="0"/>
      <border diagonalUp="0" diagonalDown="0" outline="0">
        <left style="medium">
          <color theme="4" tint="0.79998168889431442"/>
        </left>
        <right/>
        <top style="medium">
          <color theme="4" tint="0.79998168889431442"/>
        </top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solid">
          <fgColor indexed="64"/>
          <bgColor theme="4"/>
        </patternFill>
      </fill>
      <alignment horizontal="right" vertical="center" textRotation="0" wrapText="0" indent="1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 style="medium">
          <color theme="4" tint="0.79998168889431442"/>
        </top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7" formatCode="&quot;$&quot;#,##0"/>
      <fill>
        <patternFill patternType="solid">
          <fgColor indexed="64"/>
          <bgColor theme="4"/>
        </patternFill>
      </fill>
      <alignment horizontal="right" vertical="center" textRotation="0" wrapText="0" indent="1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 style="medium">
          <color theme="4" tint="0.79998168889431442"/>
        </top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>
        <left/>
        <right style="thin">
          <color theme="4" tint="0.3999450666829432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7" formatCode="&quot;$&quot;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3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7" formatCode="&quot;$&quot;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4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4" tint="0.39994506668294322"/>
        </left>
        <right style="medium">
          <color theme="4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7" formatCode="&quot;$&quot;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theme="3"/>
        </left>
        <right style="medium">
          <color theme="6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/>
        <right style="medium">
          <color theme="6" tint="0.79998168889431442"/>
        </right>
        <top/>
        <bottom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8" formatCode="\$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3"/>
        </right>
        <top style="medium">
          <color theme="3"/>
        </top>
        <bottom style="medium">
          <color theme="6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8" formatCode="\$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4" tint="0.79998168889431442"/>
        </right>
        <top style="medium">
          <color theme="3"/>
        </top>
        <bottom style="medium">
          <color theme="3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8" formatCode="\$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4" tint="0.79998168889431442"/>
        </right>
        <top style="medium">
          <color theme="3"/>
        </top>
        <bottom style="medium">
          <color theme="3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relativeIndent="1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  <vertical style="medium">
          <color theme="4" tint="0.79998168889431442"/>
        </vertical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8" formatCode="\$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8" formatCode="\$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8" formatCode="\$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relativeIndent="1" justifyLastLine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8" formatCode="\$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8" formatCode="\$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8" formatCode="\$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relativeIndent="1" justifyLastLine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theme="4" tint="0.7999816888943144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7" formatCode="&quot;$&quot;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4" tint="0.39994506668294322"/>
        </left>
        <right style="medium">
          <color theme="4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7" formatCode="&quot;$&quot;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numFmt numFmtId="167" formatCode="&quot;$&quot;#,##0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theme="4" tint="0.7999816888943144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Microsoft Sans Serif"/>
        <family val="2"/>
        <scheme val="minor"/>
      </font>
      <fill>
        <patternFill patternType="solid">
          <fgColor indexed="64"/>
          <bgColor theme="4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/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solid">
          <fgColor indexed="64"/>
          <bgColor theme="4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theme="4" tint="0.79998168889431442"/>
        </left>
        <right style="medium">
          <color theme="4" tint="0.7999816888943144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numFmt numFmtId="166" formatCode="&quot;R$&quot;\ 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>
        <left/>
        <right style="thin">
          <color theme="4" tint="0.3999450666829432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family val="2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theme="3"/>
        </left>
        <right style="medium">
          <color theme="6" tint="0.79998168889431442"/>
        </right>
        <top style="medium">
          <color theme="3"/>
        </top>
        <bottom style="medium">
          <color theme="3"/>
        </bottom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7" formatCode="&quot;$&quot;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3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7" formatCode="&quot;$&quot;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theme="6" tint="0.79998168889431442"/>
        </right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4" tint="0.39994506668294322"/>
        </left>
        <right style="medium">
          <color theme="6" tint="0.7999816888943144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7" formatCode="&quot;$&quot;#,##0"/>
      <fill>
        <patternFill patternType="solid">
          <fgColor indexed="64"/>
          <bgColor theme="3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6" tint="0.7999816888943144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theme="3"/>
        </left>
        <right/>
        <top style="medium">
          <color theme="3"/>
        </top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1" readingOrder="0"/>
      <border diagonalUp="0" diagonalDown="0" outline="0">
        <left style="medium">
          <color theme="4" tint="0.79998168889431442"/>
        </left>
        <right style="medium">
          <color theme="6" tint="0.79998168889431442"/>
        </right>
        <top/>
        <bottom/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8" formatCode="\$#,##0"/>
      <fill>
        <patternFill patternType="solid">
          <fgColor indexed="64"/>
          <bgColor theme="3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3"/>
        </right>
        <top style="medium">
          <color theme="3"/>
        </top>
        <bottom style="medium">
          <color theme="3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alignment horizontal="right" vertical="center" textRotation="0" wrapText="0" indent="1" justifyLastLine="0" shrinkToFit="0" readingOrder="0"/>
      <border diagonalUp="0" diagonalDown="0">
        <right style="medium">
          <color theme="6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numFmt numFmtId="168" formatCode="\$#,##0"/>
      <fill>
        <patternFill patternType="solid">
          <fgColor indexed="64"/>
          <bgColor theme="3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theme="6" tint="0.79998168889431442"/>
        </left>
        <right style="medium">
          <color theme="6" tint="0.79998168889431442"/>
        </right>
        <top style="medium">
          <color theme="3"/>
        </top>
        <bottom style="medium">
          <color theme="3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alignment horizontal="right" vertical="center" textRotation="0" wrapText="0" relativeIndent="1" justifyLastLine="0" shrinkToFit="0" readingOrder="0"/>
    </dxf>
    <dxf>
      <border diagonalUp="0" diagonalDown="0">
        <left style="medium">
          <color theme="6" tint="0.79998168889431442"/>
        </left>
        <right style="medium">
          <color theme="4" tint="0.79998168889431442"/>
        </right>
        <top style="medium">
          <color theme="3"/>
        </top>
        <bottom style="medium">
          <color theme="3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numFmt numFmtId="166" formatCode="&quot;R$&quot;\ #,##0"/>
      <alignment horizontal="right" vertical="center" textRotation="0" wrapText="0" relativeIndent="1" justifyLastLine="0" shrinkToFit="0" readingOrder="0"/>
      <border diagonalUp="0" diagonalDown="0">
        <left/>
        <right style="medium">
          <color theme="6" tint="0.79998168889431442"/>
        </right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wrapText="0" relativeIndent="1" justifyLastLine="0" readingOrder="0"/>
      <border diagonalUp="0" diagonalDown="0">
        <left style="medium">
          <color theme="3"/>
        </left>
        <right style="medium">
          <color theme="4" tint="0.79998168889431442"/>
        </right>
        <top style="medium">
          <color theme="3"/>
        </top>
        <bottom style="medium">
          <color theme="3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border diagonalUp="0" diagonalDown="0" outline="0">
        <left style="medium">
          <color theme="6" tint="0.79998168889431442"/>
        </left>
        <right style="medium">
          <color theme="6" tint="0.79998168889431442"/>
        </right>
      </border>
    </dxf>
    <dxf>
      <border>
        <top style="medium">
          <color theme="3"/>
        </top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  <border diagonalUp="0" diagonalDown="0">
        <left style="medium">
          <color theme="4" tint="0.79998168889431442"/>
        </left>
        <right style="medium">
          <color theme="4" tint="0.79998168889431442"/>
        </right>
        <top/>
        <bottom/>
        <vertical style="medium">
          <color theme="4" tint="0.79998168889431442"/>
        </vertical>
        <horizontal/>
      </border>
    </dxf>
    <dxf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Microsoft Sans Serif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readingOrder="0"/>
    </dxf>
    <dxf>
      <border>
        <bottom style="medium">
          <color theme="3"/>
        </bottom>
      </border>
    </dxf>
    <dxf>
      <font>
        <strike val="0"/>
        <outline val="0"/>
        <shadow val="0"/>
        <u val="none"/>
        <vertAlign val="baseline"/>
        <sz val="10"/>
        <color theme="4"/>
        <name val="Microsoft Sans Serif"/>
        <scheme val="minor"/>
      </font>
      <fill>
        <patternFill patternType="solid">
          <fgColor indexed="64"/>
          <bgColor theme="3"/>
        </patternFill>
      </fill>
      <alignment horizontal="left" vertical="center" textRotation="0" indent="0" justifyLastLine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b val="0"/>
        <i val="0"/>
      </font>
    </dxf>
    <dxf>
      <font>
        <b/>
        <i val="0"/>
      </font>
    </dxf>
    <dxf>
      <font>
        <b/>
        <i val="0"/>
        <color theme="3"/>
      </font>
      <fill>
        <patternFill>
          <bgColor theme="4"/>
        </patternFill>
      </fill>
    </dxf>
    <dxf>
      <font>
        <b val="0"/>
        <i val="0"/>
      </font>
    </dxf>
    <dxf>
      <font>
        <b/>
        <i val="0"/>
      </font>
    </dxf>
    <dxf>
      <font>
        <b/>
        <i val="0"/>
      </font>
    </dxf>
  </dxfs>
  <tableStyles count="2" defaultTableStyle="TableStyleMedium9">
    <tableStyle name="Orçamento" pivot="0" count="3" xr9:uid="{00000000-0011-0000-FFFF-FFFF00000000}">
      <tableStyleElement type="headerRow" dxfId="160"/>
      <tableStyleElement type="totalRow" dxfId="159"/>
      <tableStyleElement type="firstColumn" dxfId="158"/>
    </tableStyle>
    <tableStyle name="Transporte" pivot="0" count="3" xr9:uid="{00000000-0011-0000-FFFF-FFFF01000000}">
      <tableStyleElement type="headerRow" dxfId="157"/>
      <tableStyleElement type="totalRow" dxfId="156"/>
      <tableStyleElement type="firstColumn" dxfId="155"/>
    </tableStyle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radia" displayName="Moradia" ref="B10:E21" totalsRowCount="1" headerRowDxfId="154" dataDxfId="152" totalsRowDxfId="150" headerRowBorderDxfId="153" tableBorderDxfId="151" totalsRowBorderDxfId="149">
  <autoFilter ref="B10:E20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MORADIA" totalsRowLabel="Total" dataDxfId="148" totalsRowDxfId="147"/>
    <tableColumn id="2" xr3:uid="{00000000-0010-0000-0000-000002000000}" name="Custo previsto" totalsRowFunction="sum" dataDxfId="146" totalsRowDxfId="145"/>
    <tableColumn id="3" xr3:uid="{00000000-0010-0000-0000-000003000000}" name="Custo Real" totalsRowFunction="sum" dataDxfId="144" totalsRowDxfId="143"/>
    <tableColumn id="4" xr3:uid="{00000000-0010-0000-0000-000004000000}" name="Diferença" totalsRowFunction="sum" dataDxfId="142" totalsRowDxfId="141">
      <calculatedColumnFormula>Moradia[[#This Row],[Custo previsto]]-Moradia[[#This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de moradia nesta tabela. A diferença é calculada automaticamente e os ícones são atualizados"/>
    </ext>
  </extLst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eguro" displayName="Seguro" ref="B33:E38" totalsRowCount="1" headerRowDxfId="140" dataDxfId="138" totalsRowDxfId="136" headerRowBorderDxfId="139" tableBorderDxfId="137" totalsRowBorderDxfId="135">
  <autoFilter ref="B33:E37" xr:uid="{00000000-0009-0000-0100-00000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SEGURO" totalsRowLabel="Total" dataDxfId="134" totalsRowDxfId="133"/>
    <tableColumn id="2" xr3:uid="{00000000-0010-0000-0100-000002000000}" name="Custo previsto" totalsRowFunction="sum" dataDxfId="132" totalsRowDxfId="131"/>
    <tableColumn id="3" xr3:uid="{00000000-0010-0000-0100-000003000000}" name="Custo Real" totalsRowFunction="sum" dataDxfId="130" totalsRowDxfId="129"/>
    <tableColumn id="4" xr3:uid="{00000000-0010-0000-0100-000004000000}" name="Diferença" totalsRowFunction="sum" dataDxfId="128" totalsRowDxfId="127">
      <calculatedColumnFormula>Seguro[[#This Row],[Custo previsto]]-Seguro[[#This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de seguro nesta tabela. A diferença é calculada automaticamente e os ícones são atualizados"/>
    </ext>
  </extLst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nimais de estimação" displayName="Animais_de_estimação" ref="B46:E52" totalsRowCount="1" headerRowDxfId="113" dataDxfId="111" totalsRowDxfId="109" headerRowBorderDxfId="112" tableBorderDxfId="110" totalsRowBorderDxfId="108">
  <tableColumns count="4">
    <tableColumn id="1" xr3:uid="{00000000-0010-0000-0300-000001000000}" name="ANIMAIS DE ESTIMAÇÃO" totalsRowLabel="Total" dataDxfId="107" totalsRowDxfId="106"/>
    <tableColumn id="2" xr3:uid="{00000000-0010-0000-0300-000002000000}" name="Custo previsto" totalsRowFunction="sum" dataDxfId="105" totalsRowDxfId="104"/>
    <tableColumn id="3" xr3:uid="{00000000-0010-0000-0300-000003000000}" name="Custo Real" totalsRowFunction="sum" dataDxfId="103" totalsRowDxfId="102"/>
    <tableColumn id="4" xr3:uid="{00000000-0010-0000-0300-000004000000}" name="Diferença" totalsRowFunction="sum" dataDxfId="101" totalsRowDxfId="100">
      <calculatedColumnFormula>Animais_de_estimação[[#This Row],[Custo previsto]]-Animais_de_estimação[[#This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com animais de estimação nesta tabela. A diferença é calculada automaticamente e os ícones são atualizados"/>
    </ext>
  </extLst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PresentesEDoações" displayName="PresentesEDoações" ref="G44:J48" totalsRowCount="1" headerRowDxfId="99" dataDxfId="98" totalsRowDxfId="96" tableBorderDxfId="97">
  <autoFilter ref="G44:J47" xr:uid="{00000000-0009-0000-0100-00000B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400-000001000000}" name="PRESENTES E DOAÇÕES" totalsRowLabel="Total" dataDxfId="95" totalsRowDxfId="94"/>
    <tableColumn id="2" xr3:uid="{00000000-0010-0000-0400-000002000000}" name="Custo previsto" totalsRowFunction="sum" dataDxfId="93" totalsRowDxfId="92"/>
    <tableColumn id="3" xr3:uid="{00000000-0010-0000-0400-000003000000}" name="Custo Real" totalsRowFunction="sum" dataDxfId="91" totalsRowDxfId="90"/>
    <tableColumn id="4" xr3:uid="{00000000-0010-0000-0400-000004000000}" name="Diferença" totalsRowFunction="sum" dataDxfId="89" totalsRowDxfId="88">
      <calculatedColumnFormula>PresentesEDoações[[#This Row],[Custo previsto]]-PresentesEDoações[[#This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com presentes e doações nesta tabela. A diferença é calculada automaticamente e os ícones são atualizados"/>
    </ext>
  </extLst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Comida" displayName="Alimentação" ref="B40:E44" totalsRowCount="1" headerRowDxfId="87" dataDxfId="86" totalsRowDxfId="84" tableBorderDxfId="85">
  <tableColumns count="4">
    <tableColumn id="1" xr3:uid="{00000000-0010-0000-0500-000001000000}" name="ALIMENTAÇÃO" totalsRowLabel="Total" dataDxfId="83" totalsRowDxfId="82"/>
    <tableColumn id="2" xr3:uid="{00000000-0010-0000-0500-000002000000}" name="Custo previsto" totalsRowFunction="sum" dataDxfId="81" totalsRowDxfId="80"/>
    <tableColumn id="3" xr3:uid="{00000000-0010-0000-0500-000003000000}" name="Custo Real" totalsRowFunction="sum" dataDxfId="79" totalsRowDxfId="78"/>
    <tableColumn id="4" xr3:uid="{00000000-0010-0000-0500-000004000000}" name="Diferença" totalsRowFunction="sum" dataDxfId="77" totalsRowDxfId="76">
      <calculatedColumnFormula>Alimentação[[#This Row],[Custo previsto]]-Alimentação[[#This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com alimentação nesta tabela. A diferença é calculada automaticamente e os ícones são atualizados"/>
    </ext>
  </extLst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Impostos" displayName="Impostos" ref="G31:J36" totalsRowCount="1" headerRowDxfId="75" dataDxfId="74" totalsRowDxfId="72" tableBorderDxfId="73">
  <autoFilter ref="G31:J35" xr:uid="{00000000-0009-0000-0100-000009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600-000001000000}" name="IMPOSTOS" totalsRowLabel="Total" dataDxfId="71" totalsRowDxfId="70"/>
    <tableColumn id="2" xr3:uid="{00000000-0010-0000-0600-000002000000}" name="Custo previsto" totalsRowFunction="sum" dataDxfId="69" totalsRowDxfId="68"/>
    <tableColumn id="3" xr3:uid="{00000000-0010-0000-0600-000003000000}" name="Custo Real" totalsRowFunction="sum" dataDxfId="67" totalsRowDxfId="66"/>
    <tableColumn id="4" xr3:uid="{00000000-0010-0000-0600-000004000000}" name="Diferença" totalsRowFunction="sum" dataDxfId="65" totalsRowDxfId="64">
      <calculatedColumnFormula>Impostos[[#This Row],[Custo previsto]]-Impostos[[#This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de impostos nesta tabela. A diferença é calculada automaticamente e os ícones são atualizados"/>
    </ext>
  </extLst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oupançasOuInvestimentos" displayName="PoupançasOuInvestimentos" ref="G38:J42" totalsRowCount="1" headerRowDxfId="37" dataDxfId="35" totalsRowDxfId="33" headerRowBorderDxfId="36" tableBorderDxfId="34" totalsRowBorderDxfId="32">
  <autoFilter ref="G38:J41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900-000001000000}" name="POUPANÇAS OU INVESTIMENTOS" totalsRowLabel="Total" dataDxfId="31" totalsRowDxfId="30"/>
    <tableColumn id="2" xr3:uid="{00000000-0010-0000-0900-000002000000}" name="Custo previsto" totalsRowFunction="sum" dataDxfId="29" totalsRowDxfId="28"/>
    <tableColumn id="3" xr3:uid="{00000000-0010-0000-0900-000003000000}" name="Custo Real" totalsRowFunction="sum" dataDxfId="27" totalsRowDxfId="26"/>
    <tableColumn id="4" xr3:uid="{00000000-0010-0000-0900-000004000000}" name="Diferença" totalsRowFunction="sum" dataDxfId="25" totalsRowDxfId="24">
      <calculatedColumnFormula>PoupançasOuInvestimentos[[#This Row],[Custo previsto]]-PoupançasOuInvestimentos[[#This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da poupança ou investimentos nesta tabela. A diferença é calculada automaticamente e os ícones são atualizados"/>
    </ext>
  </extLst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PersonalCare" displayName="CuidadosPessoais" ref="B54:E62" totalsRowCount="1" headerRowDxfId="23" dataDxfId="22" totalsRowDxfId="20" tableBorderDxfId="21">
  <tableColumns count="4">
    <tableColumn id="1" xr3:uid="{00000000-0010-0000-0A00-000001000000}" name="CUIDADOS PESSOAIS" totalsRowLabel="Total" dataDxfId="19" totalsRowDxfId="18"/>
    <tableColumn id="2" xr3:uid="{00000000-0010-0000-0A00-000002000000}" name="Custo previsto" totalsRowFunction="sum" dataDxfId="17" totalsRowDxfId="16"/>
    <tableColumn id="3" xr3:uid="{00000000-0010-0000-0A00-000003000000}" name="Custo Real" totalsRowFunction="sum" dataDxfId="15" totalsRowDxfId="14"/>
    <tableColumn id="4" xr3:uid="{00000000-0010-0000-0A00-000004000000}" name="Diferença" totalsRowFunction="sum" dataDxfId="13" totalsRowDxfId="12">
      <calculatedColumnFormula>CuidadosPessoais[[#This Row],[Custo previsto]]-CuidadosPessoais[[#This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com cuidados pessoais nesta tabela. A diferença é calculada automaticamente e os ícones são atualizados"/>
    </ext>
  </extLst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Entretenimento" displayName="Entretenimento" ref="G10:J20" totalsRowCount="1" headerRowDxfId="11" dataDxfId="10" totalsRowDxfId="8" tableBorderDxfId="9">
  <autoFilter ref="G10:J19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B00-000001000000}" name="ENTRETENIMENTO" totalsRowLabel="Total" dataDxfId="7" totalsRowDxfId="6"/>
    <tableColumn id="2" xr3:uid="{00000000-0010-0000-0B00-000002000000}" name="Custo previsto" totalsRowFunction="sum" dataDxfId="5" totalsRowDxfId="4"/>
    <tableColumn id="3" xr3:uid="{00000000-0010-0000-0B00-000003000000}" name="Custo Real" totalsRowFunction="sum" dataDxfId="3" totalsRowDxfId="2"/>
    <tableColumn id="4" xr3:uid="{00000000-0010-0000-0B00-000004000000}" name="Diferença" totalsRowFunction="sum" dataDxfId="1" totalsRowDxfId="0">
      <calculatedColumnFormula>Entretenimento[[#This Row],[Custo previsto]]-Entretenimento[[#This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com entretenimento nesta tabela. A diferença é calculada automaticamente e os ícones são atualizados"/>
    </ext>
  </extLst>
</table>
</file>

<file path=xl/tables/table3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Assessoria jurídica" displayName="Assessoria_jurídica" ref="G50:J55" totalsRowCount="1" headerRowDxfId="126" dataDxfId="124" totalsRowDxfId="122" headerRowBorderDxfId="125" tableBorderDxfId="123" totalsRowBorderDxfId="121">
  <tableColumns count="4">
    <tableColumn id="1" xr3:uid="{00000000-0010-0000-0200-000001000000}" name="ASSESSORIA JURÍDICA" totalsRowLabel="Total" totalsRowDxfId="120"/>
    <tableColumn id="2" xr3:uid="{00000000-0010-0000-0200-000002000000}" name="Custo previsto" totalsRowFunction="sum" dataDxfId="119" totalsRowDxfId="118"/>
    <tableColumn id="3" xr3:uid="{00000000-0010-0000-0200-000003000000}" name="Custo Real" totalsRowFunction="sum" dataDxfId="117" totalsRowDxfId="116"/>
    <tableColumn id="4" xr3:uid="{00000000-0010-0000-0200-000004000000}" name="Diferença" totalsRowFunction="sum" dataDxfId="115" totalsRowDxfId="114">
      <calculatedColumnFormula>Assessoria_jurídica[[#This Row],[Custo previsto]]-Assessoria_jurídica[[#This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com assessoria jurídica nesta tabela. A diferença é calculada automaticamente e os ícones são atualizados"/>
    </ext>
  </extLst>
</table>
</file>

<file path=xl/tables/table8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ransporte" displayName="Transporte" ref="B23:E31" totalsRowCount="1" headerRowDxfId="63" dataDxfId="62" totalsRowDxfId="60" tableBorderDxfId="61">
  <autoFilter ref="B23:E30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TRANSPORTE" totalsRowLabel="Total" dataDxfId="59" totalsRowDxfId="58"/>
    <tableColumn id="2" xr3:uid="{00000000-0010-0000-0700-000002000000}" name="Custo previsto" totalsRowFunction="sum" dataDxfId="57" totalsRowDxfId="56"/>
    <tableColumn id="3" xr3:uid="{00000000-0010-0000-0700-000003000000}" name="Custo Real" totalsRowFunction="sum" dataDxfId="55" totalsRowDxfId="54"/>
    <tableColumn id="4" xr3:uid="{00000000-0010-0000-0700-000004000000}" name="Diferença" totalsRowFunction="sum" dataDxfId="53" totalsRowDxfId="52">
      <calculatedColumnFormula>Transporte[[#This Row],[Custo previsto]]-Transporte[[#This Row],[Custo Real]]</calculatedColumnFormula>
    </tableColumn>
  </tableColumns>
  <tableStyleInfo name="Transporte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de transporte nesta tabela. A diferença é calculada automaticamente e os ícones são atualizados"/>
    </ext>
  </extLst>
</table>
</file>

<file path=xl/tables/table9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Empréstimos" displayName="Empréstimos" ref="G22:J29" totalsRowCount="1" headerRowDxfId="51" dataDxfId="49" totalsRowDxfId="47" headerRowBorderDxfId="50" tableBorderDxfId="48" totalsRowBorderDxfId="46">
  <autoFilter ref="G22:J28" xr:uid="{00000000-0009-0000-0100-000008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800-000001000000}" name="EMPRÉSTIMOS" totalsRowLabel="Total" dataDxfId="45" totalsRowDxfId="44"/>
    <tableColumn id="2" xr3:uid="{00000000-0010-0000-0800-000002000000}" name="Custo previsto" totalsRowFunction="sum" dataDxfId="43" totalsRowDxfId="42"/>
    <tableColumn id="3" xr3:uid="{00000000-0010-0000-0800-000003000000}" name="Custo Real" totalsRowFunction="sum" dataDxfId="41" totalsRowDxfId="40"/>
    <tableColumn id="4" xr3:uid="{00000000-0010-0000-0800-000004000000}" name="Diferença" totalsRowFunction="sum" dataDxfId="39" totalsRowDxfId="38">
      <calculatedColumnFormula>Empréstimos[[#This Row],[Custo previsto]]-Empréstimos[[#This Row],[Custo Real]]</calculatedColumnFormula>
    </tableColumn>
  </tableColumns>
  <tableStyleInfo name="Orçamento" showFirstColumn="1" showLastColumn="0" showRowStripes="1" showColumnStripes="0"/>
  <extLst>
    <ext xmlns:x14="http://schemas.microsoft.com/office/spreadsheetml/2009/9/main" uri="{504A1905-F514-4f6f-8877-14C23A59335A}">
      <x14:table altTextSummary="Insira os Custos reais e projetados de empréstimo nesta tabela. A diferença é calculada automaticamente e os ícones são atualizados"/>
    </ext>
  </extLst>
</table>
</file>

<file path=xl/theme/theme1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2F4158"/>
      </a:dk2>
      <a:lt2>
        <a:srgbClr val="F2F2F2"/>
      </a:lt2>
      <a:accent1>
        <a:srgbClr val="D0DE4E"/>
      </a:accent1>
      <a:accent2>
        <a:srgbClr val="3D5157"/>
      </a:accent2>
      <a:accent3>
        <a:srgbClr val="47653F"/>
      </a:accent3>
      <a:accent4>
        <a:srgbClr val="607E4C"/>
      </a:accent4>
      <a:accent5>
        <a:srgbClr val="78A141"/>
      </a:accent5>
      <a:accent6>
        <a:srgbClr val="9BBB59"/>
      </a:accent6>
      <a:hlink>
        <a:srgbClr val="9BBB59"/>
      </a:hlink>
      <a:folHlink>
        <a:srgbClr val="9BBB59"/>
      </a:folHlink>
    </a:clrScheme>
    <a:fontScheme name="Custom 5">
      <a:majorFont>
        <a:latin typeface="Franklin Gothic Demi"/>
        <a:ea typeface=""/>
        <a:cs typeface=""/>
      </a:majorFont>
      <a:minorFont>
        <a:latin typeface="Microsoft Sans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71.xml" Id="rId8" /><Relationship Type="http://schemas.openxmlformats.org/officeDocument/2006/relationships/table" Target="/xl/tables/table122.xml" Id="rId13" /><Relationship Type="http://schemas.openxmlformats.org/officeDocument/2006/relationships/table" Target="/xl/tables/table23.xml" Id="rId3" /><Relationship Type="http://schemas.openxmlformats.org/officeDocument/2006/relationships/table" Target="/xl/tables/table64.xml" Id="rId7" /><Relationship Type="http://schemas.openxmlformats.org/officeDocument/2006/relationships/table" Target="/xl/tables/table115.xml" Id="rId12" /><Relationship Type="http://schemas.openxmlformats.org/officeDocument/2006/relationships/table" Target="/xl/tables/table16.xml" Id="rId2" /><Relationship Type="http://schemas.openxmlformats.org/officeDocument/2006/relationships/printerSettings" Target="/xl/printerSettings/printerSettings11.bin" Id="rId1" /><Relationship Type="http://schemas.openxmlformats.org/officeDocument/2006/relationships/table" Target="/xl/tables/table57.xml" Id="rId6" /><Relationship Type="http://schemas.openxmlformats.org/officeDocument/2006/relationships/table" Target="/xl/tables/table108.xml" Id="rId11" /><Relationship Type="http://schemas.openxmlformats.org/officeDocument/2006/relationships/table" Target="/xl/tables/table49.xml" Id="rId5" /><Relationship Type="http://schemas.openxmlformats.org/officeDocument/2006/relationships/table" Target="/xl/tables/table910.xml" Id="rId10" /><Relationship Type="http://schemas.openxmlformats.org/officeDocument/2006/relationships/table" Target="/xl/tables/table311.xml" Id="rId4" /><Relationship Type="http://schemas.openxmlformats.org/officeDocument/2006/relationships/table" Target="/xl/tables/table812.xml" Id="rId9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autoPageBreaks="0" fitToPage="1"/>
  </sheetPr>
  <dimension ref="A1:J63"/>
  <sheetViews>
    <sheetView showGridLines="0" tabSelected="1" zoomScaleNormal="100" workbookViewId="0"/>
  </sheetViews>
  <sheetFormatPr defaultRowHeight="12.75" x14ac:dyDescent="0.2"/>
  <cols>
    <col min="1" max="1" width="2.28515625" customWidth="1"/>
    <col min="2" max="2" width="34.7109375" customWidth="1"/>
    <col min="3" max="5" width="18.85546875" customWidth="1"/>
    <col min="6" max="6" width="4.42578125" customWidth="1"/>
    <col min="7" max="7" width="41.85546875" customWidth="1"/>
    <col min="8" max="10" width="18.85546875" customWidth="1"/>
  </cols>
  <sheetData>
    <row r="1" spans="1:10" ht="71.45" customHeight="1" x14ac:dyDescent="0.2">
      <c r="A1" s="6"/>
      <c r="B1" s="163" t="s">
        <v>0</v>
      </c>
      <c r="C1" s="163"/>
      <c r="D1" s="163"/>
      <c r="E1" s="163"/>
      <c r="F1" s="163"/>
      <c r="G1" s="163"/>
      <c r="H1" s="163"/>
      <c r="I1" s="163"/>
      <c r="J1" s="163"/>
    </row>
    <row r="2" spans="1:10" ht="20.100000000000001" customHeight="1" x14ac:dyDescent="0.2">
      <c r="A2" s="1"/>
      <c r="B2" s="5"/>
      <c r="C2" s="4"/>
      <c r="D2" s="4"/>
      <c r="E2" s="4"/>
      <c r="F2" s="4"/>
      <c r="G2" s="4"/>
      <c r="H2" s="4"/>
      <c r="I2" s="4"/>
      <c r="J2" s="4"/>
    </row>
    <row r="3" spans="1:10" ht="18" customHeight="1" x14ac:dyDescent="0.2">
      <c r="A3" s="1"/>
      <c r="B3" s="175" t="s">
        <v>1</v>
      </c>
      <c r="C3" s="177" t="s">
        <v>40</v>
      </c>
      <c r="D3" s="178"/>
      <c r="E3" s="75">
        <v>2500</v>
      </c>
      <c r="F3" s="3"/>
      <c r="G3" s="62" t="s">
        <v>46</v>
      </c>
      <c r="H3" s="185" t="s">
        <v>78</v>
      </c>
      <c r="I3" s="186"/>
      <c r="J3" s="68">
        <f>SUM(C21,C31,C38,C44,C52,C62,H20,H29,H36,H42,H48,H55)</f>
        <v>2060</v>
      </c>
    </row>
    <row r="4" spans="1:10" ht="18" customHeight="1" thickBot="1" x14ac:dyDescent="0.25">
      <c r="A4" s="1"/>
      <c r="B4" s="173"/>
      <c r="C4" s="179" t="s">
        <v>41</v>
      </c>
      <c r="D4" s="180"/>
      <c r="E4" s="76">
        <v>500</v>
      </c>
      <c r="F4" s="3"/>
      <c r="G4" s="72" t="s">
        <v>47</v>
      </c>
      <c r="H4" s="187" t="s">
        <v>79</v>
      </c>
      <c r="I4" s="188"/>
      <c r="J4" s="69">
        <f>SUM(D21,D31,D38,D44,D52,D62,I20,I29,I36,I42,I48,I55)</f>
        <v>2040</v>
      </c>
    </row>
    <row r="5" spans="1:10" ht="18" customHeight="1" thickBot="1" x14ac:dyDescent="0.25">
      <c r="A5" s="1"/>
      <c r="B5" s="176"/>
      <c r="C5" s="164" t="s">
        <v>42</v>
      </c>
      <c r="D5" s="165"/>
      <c r="E5" s="77">
        <f>SUM(E3:E4)</f>
        <v>3000</v>
      </c>
      <c r="F5" s="3"/>
      <c r="G5" s="183" t="s">
        <v>48</v>
      </c>
      <c r="H5" s="183"/>
      <c r="I5" s="184"/>
      <c r="J5" s="67">
        <f>SUM(E21,E31,E38,E44,E52,E62,J20,J29,J36,J42,J48,J55)</f>
        <v>20</v>
      </c>
    </row>
    <row r="6" spans="1:10" ht="18" customHeight="1" x14ac:dyDescent="0.2">
      <c r="A6" s="1"/>
      <c r="B6" s="172" t="s">
        <v>2</v>
      </c>
      <c r="C6" s="166" t="s">
        <v>40</v>
      </c>
      <c r="D6" s="167"/>
      <c r="E6" s="78">
        <v>2500</v>
      </c>
      <c r="F6" s="3"/>
      <c r="G6" s="66" t="s">
        <v>49</v>
      </c>
      <c r="H6" s="185" t="s">
        <v>78</v>
      </c>
      <c r="I6" s="186"/>
      <c r="J6" s="74">
        <f>E5-J3</f>
        <v>940</v>
      </c>
    </row>
    <row r="7" spans="1:10" ht="18" customHeight="1" thickBot="1" x14ac:dyDescent="0.25">
      <c r="A7" s="1"/>
      <c r="B7" s="173"/>
      <c r="C7" s="168" t="s">
        <v>41</v>
      </c>
      <c r="D7" s="169"/>
      <c r="E7" s="79">
        <v>500</v>
      </c>
      <c r="F7" s="3"/>
      <c r="G7" s="71" t="s">
        <v>50</v>
      </c>
      <c r="H7" s="187" t="s">
        <v>79</v>
      </c>
      <c r="I7" s="188"/>
      <c r="J7" s="70">
        <f>E8-J4</f>
        <v>960</v>
      </c>
    </row>
    <row r="8" spans="1:10" ht="18" customHeight="1" thickBot="1" x14ac:dyDescent="0.25">
      <c r="A8" s="1"/>
      <c r="B8" s="174"/>
      <c r="C8" s="170" t="s">
        <v>42</v>
      </c>
      <c r="D8" s="171"/>
      <c r="E8" s="80">
        <f>SUM(E6:E7)</f>
        <v>3000</v>
      </c>
      <c r="F8" s="3"/>
      <c r="G8" s="181" t="s">
        <v>51</v>
      </c>
      <c r="H8" s="181"/>
      <c r="I8" s="182"/>
      <c r="J8" s="73">
        <f>J7-J6</f>
        <v>20</v>
      </c>
    </row>
    <row r="9" spans="1:10" ht="20.100000000000001" customHeight="1" thickBot="1" x14ac:dyDescent="0.25">
      <c r="A9" s="1"/>
      <c r="B9" s="60"/>
      <c r="C9" s="60"/>
      <c r="D9" s="60"/>
      <c r="E9" s="64"/>
      <c r="F9" s="3"/>
      <c r="G9" s="65"/>
      <c r="H9" s="65"/>
      <c r="I9" s="65"/>
      <c r="J9" s="63"/>
    </row>
    <row r="10" spans="1:10" ht="18" customHeight="1" thickBot="1" x14ac:dyDescent="0.25">
      <c r="A10" s="1"/>
      <c r="B10" s="8" t="s">
        <v>3</v>
      </c>
      <c r="C10" s="11" t="s">
        <v>43</v>
      </c>
      <c r="D10" s="11" t="s">
        <v>44</v>
      </c>
      <c r="E10" s="12" t="s">
        <v>45</v>
      </c>
      <c r="F10" s="13"/>
      <c r="G10" s="9" t="s">
        <v>52</v>
      </c>
      <c r="H10" s="26" t="s">
        <v>43</v>
      </c>
      <c r="I10" s="27" t="s">
        <v>44</v>
      </c>
      <c r="J10" s="28" t="s">
        <v>45</v>
      </c>
    </row>
    <row r="11" spans="1:10" ht="18" customHeight="1" thickBot="1" x14ac:dyDescent="0.25">
      <c r="A11" s="1"/>
      <c r="B11" s="35" t="s">
        <v>4</v>
      </c>
      <c r="C11" s="83">
        <v>1500</v>
      </c>
      <c r="D11" s="84">
        <v>1400</v>
      </c>
      <c r="E11" s="85">
        <f>Moradia[[#This Row],[Custo previsto]]-Moradia[[#This Row],[Custo Real]]</f>
        <v>100</v>
      </c>
      <c r="F11" s="7"/>
      <c r="G11" s="29" t="s">
        <v>53</v>
      </c>
      <c r="H11" s="98">
        <v>0</v>
      </c>
      <c r="I11" s="98">
        <v>50</v>
      </c>
      <c r="J11" s="98">
        <f>Entretenimento[[#This Row],[Custo previsto]]-Entretenimento[[#This Row],[Custo Real]]</f>
        <v>-50</v>
      </c>
    </row>
    <row r="12" spans="1:10" ht="18" customHeight="1" thickBot="1" x14ac:dyDescent="0.25">
      <c r="A12" s="1"/>
      <c r="B12" s="36" t="s">
        <v>5</v>
      </c>
      <c r="C12" s="86">
        <v>60</v>
      </c>
      <c r="D12" s="86">
        <v>100</v>
      </c>
      <c r="E12" s="86">
        <f>Moradia[[#This Row],[Custo previsto]]-Moradia[[#This Row],[Custo Real]]</f>
        <v>-40</v>
      </c>
      <c r="F12" s="2"/>
      <c r="G12" s="30" t="s">
        <v>54</v>
      </c>
      <c r="H12" s="99"/>
      <c r="I12" s="99"/>
      <c r="J12" s="99">
        <f>Entretenimento[[#This Row],[Custo previsto]]-Entretenimento[[#This Row],[Custo Real]]</f>
        <v>0</v>
      </c>
    </row>
    <row r="13" spans="1:10" ht="18" customHeight="1" thickBot="1" x14ac:dyDescent="0.25">
      <c r="A13" s="1"/>
      <c r="B13" s="35" t="s">
        <v>6</v>
      </c>
      <c r="C13" s="87">
        <v>50</v>
      </c>
      <c r="D13" s="88">
        <v>60</v>
      </c>
      <c r="E13" s="88">
        <f>Moradia[[#This Row],[Custo previsto]]-Moradia[[#This Row],[Custo Real]]</f>
        <v>-10</v>
      </c>
      <c r="F13" s="2"/>
      <c r="G13" s="31" t="s">
        <v>55</v>
      </c>
      <c r="H13" s="98"/>
      <c r="I13" s="100"/>
      <c r="J13" s="100">
        <f>Entretenimento[[#This Row],[Custo previsto]]-Entretenimento[[#This Row],[Custo Real]]</f>
        <v>0</v>
      </c>
    </row>
    <row r="14" spans="1:10" ht="18" customHeight="1" thickBot="1" x14ac:dyDescent="0.25">
      <c r="A14" s="1"/>
      <c r="B14" s="36" t="s">
        <v>7</v>
      </c>
      <c r="C14" s="89">
        <v>200</v>
      </c>
      <c r="D14" s="86">
        <v>180</v>
      </c>
      <c r="E14" s="86">
        <f>Moradia[[#This Row],[Custo previsto]]-Moradia[[#This Row],[Custo Real]]</f>
        <v>20</v>
      </c>
      <c r="F14" s="2"/>
      <c r="G14" s="32" t="s">
        <v>56</v>
      </c>
      <c r="H14" s="101"/>
      <c r="I14" s="101"/>
      <c r="J14" s="99">
        <f>Entretenimento[[#This Row],[Custo previsto]]-Entretenimento[[#This Row],[Custo Real]]</f>
        <v>0</v>
      </c>
    </row>
    <row r="15" spans="1:10" ht="18" customHeight="1" thickBot="1" x14ac:dyDescent="0.25">
      <c r="A15" s="1"/>
      <c r="B15" s="35" t="s">
        <v>8</v>
      </c>
      <c r="C15" s="88"/>
      <c r="D15" s="88"/>
      <c r="E15" s="88">
        <f>Moradia[[#This Row],[Custo previsto]]-Moradia[[#This Row],[Custo Real]]</f>
        <v>0</v>
      </c>
      <c r="F15" s="2"/>
      <c r="G15" s="29" t="s">
        <v>57</v>
      </c>
      <c r="H15" s="100"/>
      <c r="I15" s="100"/>
      <c r="J15" s="102">
        <f>Entretenimento[[#This Row],[Custo previsto]]-Entretenimento[[#This Row],[Custo Real]]</f>
        <v>0</v>
      </c>
    </row>
    <row r="16" spans="1:10" ht="18" customHeight="1" thickBot="1" x14ac:dyDescent="0.25">
      <c r="A16" s="1"/>
      <c r="B16" s="36" t="s">
        <v>9</v>
      </c>
      <c r="C16" s="86"/>
      <c r="D16" s="90"/>
      <c r="E16" s="86">
        <f>Moradia[[#This Row],[Custo previsto]]-Moradia[[#This Row],[Custo Real]]</f>
        <v>0</v>
      </c>
      <c r="F16" s="2"/>
      <c r="G16" s="32" t="s">
        <v>58</v>
      </c>
      <c r="H16" s="103"/>
      <c r="I16" s="103"/>
      <c r="J16" s="104">
        <f>Entretenimento[[#This Row],[Custo previsto]]-Entretenimento[[#This Row],[Custo Real]]</f>
        <v>0</v>
      </c>
    </row>
    <row r="17" spans="1:10" ht="18" customHeight="1" thickBot="1" x14ac:dyDescent="0.25">
      <c r="A17" s="1"/>
      <c r="B17" s="35" t="s">
        <v>10</v>
      </c>
      <c r="C17" s="88"/>
      <c r="D17" s="87"/>
      <c r="E17" s="87">
        <f>Moradia[[#This Row],[Custo previsto]]-Moradia[[#This Row],[Custo Real]]</f>
        <v>0</v>
      </c>
      <c r="F17" s="2"/>
      <c r="G17" s="33" t="s">
        <v>13</v>
      </c>
      <c r="H17" s="105"/>
      <c r="I17" s="105"/>
      <c r="J17" s="106">
        <f>Entretenimento[[#This Row],[Custo previsto]]-Entretenimento[[#This Row],[Custo Real]]</f>
        <v>0</v>
      </c>
    </row>
    <row r="18" spans="1:10" ht="18" customHeight="1" thickBot="1" x14ac:dyDescent="0.25">
      <c r="A18" s="1"/>
      <c r="B18" s="36" t="s">
        <v>11</v>
      </c>
      <c r="C18" s="86"/>
      <c r="D18" s="91"/>
      <c r="E18" s="86">
        <f>Moradia[[#This Row],[Custo previsto]]-Moradia[[#This Row],[Custo Real]]</f>
        <v>0</v>
      </c>
      <c r="F18" s="2"/>
      <c r="G18" s="32" t="s">
        <v>13</v>
      </c>
      <c r="H18" s="99"/>
      <c r="I18" s="99"/>
      <c r="J18" s="107">
        <f>Entretenimento[[#This Row],[Custo previsto]]-Entretenimento[[#This Row],[Custo Real]]</f>
        <v>0</v>
      </c>
    </row>
    <row r="19" spans="1:10" ht="18" customHeight="1" thickBot="1" x14ac:dyDescent="0.25">
      <c r="A19" s="1"/>
      <c r="B19" s="37" t="s">
        <v>12</v>
      </c>
      <c r="C19" s="92"/>
      <c r="D19" s="92"/>
      <c r="E19" s="87">
        <f>Moradia[[#This Row],[Custo previsto]]-Moradia[[#This Row],[Custo Real]]</f>
        <v>0</v>
      </c>
      <c r="F19" s="2"/>
      <c r="G19" s="29" t="s">
        <v>13</v>
      </c>
      <c r="H19" s="98"/>
      <c r="I19" s="98"/>
      <c r="J19" s="108">
        <f>Entretenimento[[#This Row],[Custo previsto]]-Entretenimento[[#This Row],[Custo Real]]</f>
        <v>0</v>
      </c>
    </row>
    <row r="20" spans="1:10" ht="18" customHeight="1" thickBot="1" x14ac:dyDescent="0.25">
      <c r="A20" s="1"/>
      <c r="B20" s="38" t="s">
        <v>13</v>
      </c>
      <c r="C20" s="93"/>
      <c r="D20" s="93"/>
      <c r="E20" s="94">
        <f>Moradia[[#This Row],[Custo previsto]]-Moradia[[#This Row],[Custo Real]]</f>
        <v>0</v>
      </c>
      <c r="F20" s="2"/>
      <c r="G20" s="34" t="s">
        <v>14</v>
      </c>
      <c r="H20" s="109">
        <f>SUBTOTAL(109,Entretenimento[Custo previsto])</f>
        <v>0</v>
      </c>
      <c r="I20" s="110">
        <f>SUBTOTAL(109,Entretenimento[Custo Real])</f>
        <v>50</v>
      </c>
      <c r="J20" s="111">
        <f>SUBTOTAL(109,Entretenimento[Diferença])</f>
        <v>-50</v>
      </c>
    </row>
    <row r="21" spans="1:10" ht="18" customHeight="1" thickBot="1" x14ac:dyDescent="0.25">
      <c r="A21" s="1"/>
      <c r="B21" s="20" t="s">
        <v>14</v>
      </c>
      <c r="C21" s="95">
        <f>SUBTOTAL(109,Moradia[Custo previsto])</f>
        <v>1810</v>
      </c>
      <c r="D21" s="96">
        <f>SUBTOTAL(109,Moradia[Custo Real])</f>
        <v>1740</v>
      </c>
      <c r="E21" s="97">
        <f>SUBTOTAL(109,Moradia[Diferença])</f>
        <v>70</v>
      </c>
      <c r="F21" s="2"/>
      <c r="G21" s="161"/>
      <c r="H21" s="161"/>
      <c r="I21" s="161"/>
      <c r="J21" s="161"/>
    </row>
    <row r="22" spans="1:10" ht="18" customHeight="1" thickBot="1" x14ac:dyDescent="0.25">
      <c r="A22" s="1"/>
      <c r="B22" s="159"/>
      <c r="C22" s="159"/>
      <c r="D22" s="159"/>
      <c r="E22" s="159"/>
      <c r="F22" s="2"/>
      <c r="G22" s="10" t="s">
        <v>59</v>
      </c>
      <c r="H22" s="19" t="s">
        <v>43</v>
      </c>
      <c r="I22" s="19" t="s">
        <v>44</v>
      </c>
      <c r="J22" s="18" t="s">
        <v>45</v>
      </c>
    </row>
    <row r="23" spans="1:10" ht="18" customHeight="1" thickBot="1" x14ac:dyDescent="0.25">
      <c r="A23" s="1"/>
      <c r="B23" s="39" t="s">
        <v>15</v>
      </c>
      <c r="C23" s="26" t="s">
        <v>43</v>
      </c>
      <c r="D23" s="27" t="s">
        <v>44</v>
      </c>
      <c r="E23" s="27" t="s">
        <v>45</v>
      </c>
      <c r="F23" s="2"/>
      <c r="G23" s="35" t="s">
        <v>60</v>
      </c>
      <c r="H23" s="119"/>
      <c r="I23" s="120"/>
      <c r="J23" s="121">
        <f>Empréstimos[[#This Row],[Custo previsto]]-Empréstimos[[#This Row],[Custo Real]]</f>
        <v>0</v>
      </c>
    </row>
    <row r="24" spans="1:10" ht="18" customHeight="1" thickBot="1" x14ac:dyDescent="0.25">
      <c r="A24" s="1"/>
      <c r="B24" s="29" t="s">
        <v>16</v>
      </c>
      <c r="C24" s="112">
        <v>250</v>
      </c>
      <c r="D24" s="112">
        <v>250</v>
      </c>
      <c r="E24" s="112">
        <f>Transporte[[#This Row],[Custo previsto]]-Transporte[[#This Row],[Custo Real]]</f>
        <v>0</v>
      </c>
      <c r="F24" s="2"/>
      <c r="G24" s="42" t="s">
        <v>61</v>
      </c>
      <c r="H24" s="122"/>
      <c r="I24" s="123"/>
      <c r="J24" s="122">
        <f>Empréstimos[[#This Row],[Custo previsto]]-Empréstimos[[#This Row],[Custo Real]]</f>
        <v>0</v>
      </c>
    </row>
    <row r="25" spans="1:10" ht="18" customHeight="1" thickBot="1" x14ac:dyDescent="0.25">
      <c r="A25" s="1"/>
      <c r="B25" s="32" t="s">
        <v>17</v>
      </c>
      <c r="C25" s="113"/>
      <c r="D25" s="113"/>
      <c r="E25" s="113">
        <f>Transporte[[#This Row],[Custo previsto]]-Transporte[[#This Row],[Custo Real]]</f>
        <v>0</v>
      </c>
      <c r="F25" s="2"/>
      <c r="G25" s="43" t="s">
        <v>62</v>
      </c>
      <c r="H25" s="124"/>
      <c r="I25" s="125"/>
      <c r="J25" s="120">
        <f>Empréstimos[[#This Row],[Custo previsto]]-Empréstimos[[#This Row],[Custo Real]]</f>
        <v>0</v>
      </c>
    </row>
    <row r="26" spans="1:10" ht="18" customHeight="1" thickBot="1" x14ac:dyDescent="0.25">
      <c r="A26" s="1"/>
      <c r="B26" s="33" t="s">
        <v>18</v>
      </c>
      <c r="C26" s="114"/>
      <c r="D26" s="114"/>
      <c r="E26" s="114">
        <f>Transporte[[#This Row],[Custo previsto]]-Transporte[[#This Row],[Custo Real]]</f>
        <v>0</v>
      </c>
      <c r="F26" s="2"/>
      <c r="G26" s="36" t="s">
        <v>62</v>
      </c>
      <c r="H26" s="122"/>
      <c r="I26" s="123"/>
      <c r="J26" s="122">
        <f>Empréstimos[[#This Row],[Custo previsto]]-Empréstimos[[#This Row],[Custo Real]]</f>
        <v>0</v>
      </c>
    </row>
    <row r="27" spans="1:10" ht="18" customHeight="1" thickBot="1" x14ac:dyDescent="0.25">
      <c r="A27" s="1"/>
      <c r="B27" s="32" t="s">
        <v>19</v>
      </c>
      <c r="C27" s="115"/>
      <c r="D27" s="115"/>
      <c r="E27" s="115">
        <f>Transporte[[#This Row],[Custo previsto]]-Transporte[[#This Row],[Custo Real]]</f>
        <v>0</v>
      </c>
      <c r="F27" s="2"/>
      <c r="G27" s="44" t="s">
        <v>62</v>
      </c>
      <c r="H27" s="124"/>
      <c r="I27" s="125"/>
      <c r="J27" s="126">
        <f>Empréstimos[[#This Row],[Custo previsto]]-Empréstimos[[#This Row],[Custo Real]]</f>
        <v>0</v>
      </c>
    </row>
    <row r="28" spans="1:10" ht="18" customHeight="1" thickBot="1" x14ac:dyDescent="0.25">
      <c r="A28" s="1"/>
      <c r="B28" s="40" t="s">
        <v>20</v>
      </c>
      <c r="C28" s="114"/>
      <c r="D28" s="114"/>
      <c r="E28" s="114">
        <f>Transporte[[#This Row],[Custo previsto]]-Transporte[[#This Row],[Custo Real]]</f>
        <v>0</v>
      </c>
      <c r="F28" s="2"/>
      <c r="G28" s="45" t="s">
        <v>13</v>
      </c>
      <c r="H28" s="127"/>
      <c r="I28" s="128"/>
      <c r="J28" s="127">
        <f>Empréstimos[[#This Row],[Custo previsto]]-Empréstimos[[#This Row],[Custo Real]]</f>
        <v>0</v>
      </c>
    </row>
    <row r="29" spans="1:10" ht="18" customHeight="1" thickBot="1" x14ac:dyDescent="0.25">
      <c r="A29" s="1"/>
      <c r="B29" s="41" t="s">
        <v>21</v>
      </c>
      <c r="C29" s="115"/>
      <c r="D29" s="115"/>
      <c r="E29" s="115">
        <f>Transporte[[#This Row],[Custo previsto]]-Transporte[[#This Row],[Custo Real]]</f>
        <v>0</v>
      </c>
      <c r="F29" s="2"/>
      <c r="G29" s="10" t="s">
        <v>14</v>
      </c>
      <c r="H29" s="129">
        <f>SUBTOTAL(109,Empréstimos[Custo previsto])</f>
        <v>0</v>
      </c>
      <c r="I29" s="130">
        <f>SUBTOTAL(109,Empréstimos[Custo Real])</f>
        <v>0</v>
      </c>
      <c r="J29" s="131">
        <f>SUBTOTAL(109,Empréstimos[Diferença])</f>
        <v>0</v>
      </c>
    </row>
    <row r="30" spans="1:10" ht="18" customHeight="1" x14ac:dyDescent="0.2">
      <c r="A30" s="1"/>
      <c r="B30" s="33" t="s">
        <v>13</v>
      </c>
      <c r="C30" s="116"/>
      <c r="D30" s="117"/>
      <c r="E30" s="116">
        <f>Transporte[[#This Row],[Custo previsto]]-Transporte[[#This Row],[Custo Real]]</f>
        <v>0</v>
      </c>
      <c r="F30" s="2"/>
      <c r="G30" s="160"/>
      <c r="H30" s="160"/>
      <c r="I30" s="160"/>
      <c r="J30" s="160"/>
    </row>
    <row r="31" spans="1:10" ht="18" customHeight="1" x14ac:dyDescent="0.2">
      <c r="A31" s="1"/>
      <c r="B31" s="34" t="s">
        <v>14</v>
      </c>
      <c r="C31" s="118">
        <f>SUBTOTAL(109,Transporte[Custo previsto])</f>
        <v>250</v>
      </c>
      <c r="D31" s="118">
        <f>SUBTOTAL(109,Transporte[Custo Real])</f>
        <v>250</v>
      </c>
      <c r="E31" s="118">
        <f>SUBTOTAL(109,Transporte[Diferença])</f>
        <v>0</v>
      </c>
      <c r="F31" s="7"/>
      <c r="G31" s="39" t="s">
        <v>63</v>
      </c>
      <c r="H31" s="26" t="s">
        <v>43</v>
      </c>
      <c r="I31" s="26" t="s">
        <v>44</v>
      </c>
      <c r="J31" s="26" t="s">
        <v>45</v>
      </c>
    </row>
    <row r="32" spans="1:10" ht="18" customHeight="1" thickBot="1" x14ac:dyDescent="0.25">
      <c r="A32" s="1"/>
      <c r="B32" s="160"/>
      <c r="C32" s="160"/>
      <c r="D32" s="160"/>
      <c r="E32" s="160"/>
      <c r="F32" s="7"/>
      <c r="G32" s="29" t="s">
        <v>64</v>
      </c>
      <c r="H32" s="116"/>
      <c r="I32" s="116"/>
      <c r="J32" s="116">
        <f>Impostos[[#This Row],[Custo previsto]]-Impostos[[#This Row],[Custo Real]]</f>
        <v>0</v>
      </c>
    </row>
    <row r="33" spans="1:10" ht="18" customHeight="1" thickBot="1" x14ac:dyDescent="0.25">
      <c r="A33" s="1"/>
      <c r="B33" s="10" t="s">
        <v>22</v>
      </c>
      <c r="C33" s="17" t="s">
        <v>43</v>
      </c>
      <c r="D33" s="16" t="s">
        <v>44</v>
      </c>
      <c r="E33" s="15" t="s">
        <v>45</v>
      </c>
      <c r="F33" s="7"/>
      <c r="G33" s="46" t="s">
        <v>65</v>
      </c>
      <c r="H33" s="140"/>
      <c r="I33" s="141"/>
      <c r="J33" s="141">
        <f>Impostos[[#This Row],[Custo previsto]]-Impostos[[#This Row],[Custo Real]]</f>
        <v>0</v>
      </c>
    </row>
    <row r="34" spans="1:10" ht="18" customHeight="1" thickBot="1" x14ac:dyDescent="0.25">
      <c r="A34" s="23"/>
      <c r="B34" s="47" t="s">
        <v>23</v>
      </c>
      <c r="C34" s="121"/>
      <c r="D34" s="132"/>
      <c r="E34" s="119">
        <f>Seguro[[#This Row],[Custo previsto]]-Seguro[[#This Row],[Custo Real]]</f>
        <v>0</v>
      </c>
      <c r="F34" s="7"/>
      <c r="G34" s="40" t="s">
        <v>66</v>
      </c>
      <c r="H34" s="114"/>
      <c r="I34" s="117"/>
      <c r="J34" s="117">
        <f>Impostos[[#This Row],[Custo previsto]]-Impostos[[#This Row],[Custo Real]]</f>
        <v>0</v>
      </c>
    </row>
    <row r="35" spans="1:10" ht="18" customHeight="1" thickBot="1" x14ac:dyDescent="0.25">
      <c r="A35" s="23"/>
      <c r="B35" s="48" t="s">
        <v>24</v>
      </c>
      <c r="C35" s="122"/>
      <c r="D35" s="133"/>
      <c r="E35" s="134">
        <f>Seguro[[#This Row],[Custo previsto]]-Seguro[[#This Row],[Custo Real]]</f>
        <v>0</v>
      </c>
      <c r="F35" s="7"/>
      <c r="G35" s="46" t="s">
        <v>13</v>
      </c>
      <c r="H35" s="141"/>
      <c r="I35" s="141"/>
      <c r="J35" s="141">
        <f>Impostos[[#This Row],[Custo previsto]]-Impostos[[#This Row],[Custo Real]]</f>
        <v>0</v>
      </c>
    </row>
    <row r="36" spans="1:10" ht="18" customHeight="1" thickBot="1" x14ac:dyDescent="0.25">
      <c r="A36" s="23"/>
      <c r="B36" s="49" t="s">
        <v>25</v>
      </c>
      <c r="C36" s="120"/>
      <c r="D36" s="135"/>
      <c r="E36" s="120">
        <f>Seguro[[#This Row],[Custo previsto]]-Seguro[[#This Row],[Custo Real]]</f>
        <v>0</v>
      </c>
      <c r="F36" s="7"/>
      <c r="G36" s="34" t="s">
        <v>14</v>
      </c>
      <c r="H36" s="118">
        <f>SUBTOTAL(109,Impostos[Custo previsto])</f>
        <v>0</v>
      </c>
      <c r="I36" s="118">
        <f>SUBTOTAL(109,Impostos[Custo Real])</f>
        <v>0</v>
      </c>
      <c r="J36" s="118">
        <f>SUBTOTAL(109,Impostos[Diferença])</f>
        <v>0</v>
      </c>
    </row>
    <row r="37" spans="1:10" ht="18" customHeight="1" thickBot="1" x14ac:dyDescent="0.25">
      <c r="A37" s="23"/>
      <c r="B37" s="50" t="s">
        <v>13</v>
      </c>
      <c r="C37" s="127"/>
      <c r="D37" s="136"/>
      <c r="E37" s="127">
        <f>Seguro[[#This Row],[Custo previsto]]-Seguro[[#This Row],[Custo Real]]</f>
        <v>0</v>
      </c>
      <c r="F37" s="2"/>
      <c r="G37" s="160"/>
      <c r="H37" s="160"/>
      <c r="I37" s="160"/>
      <c r="J37" s="160"/>
    </row>
    <row r="38" spans="1:10" ht="18" customHeight="1" thickBot="1" x14ac:dyDescent="0.25">
      <c r="A38" s="1"/>
      <c r="B38" s="10" t="s">
        <v>14</v>
      </c>
      <c r="C38" s="137">
        <f>SUBTOTAL(109,Seguro[Custo previsto])</f>
        <v>0</v>
      </c>
      <c r="D38" s="138">
        <f>SUBTOTAL(109,Seguro[Custo Real])</f>
        <v>0</v>
      </c>
      <c r="E38" s="139">
        <f>SUBTOTAL(109,Seguro[Diferença])</f>
        <v>0</v>
      </c>
      <c r="F38" s="2"/>
      <c r="G38" s="21" t="s">
        <v>67</v>
      </c>
      <c r="H38" s="22" t="s">
        <v>43</v>
      </c>
      <c r="I38" s="14" t="s">
        <v>44</v>
      </c>
      <c r="J38" s="15" t="s">
        <v>45</v>
      </c>
    </row>
    <row r="39" spans="1:10" ht="18" customHeight="1" thickBot="1" x14ac:dyDescent="0.25">
      <c r="A39" s="1"/>
      <c r="B39" s="160"/>
      <c r="C39" s="160"/>
      <c r="D39" s="160"/>
      <c r="E39" s="160"/>
      <c r="F39" s="24"/>
      <c r="G39" s="52" t="s">
        <v>68</v>
      </c>
      <c r="H39" s="119"/>
      <c r="I39" s="142"/>
      <c r="J39" s="145">
        <f>PoupançasOuInvestimentos[[#This Row],[Custo previsto]]-PoupançasOuInvestimentos[[#This Row],[Custo Real]]</f>
        <v>0</v>
      </c>
    </row>
    <row r="40" spans="1:10" ht="18" customHeight="1" thickBot="1" x14ac:dyDescent="0.25">
      <c r="A40" s="1"/>
      <c r="B40" s="39" t="s">
        <v>26</v>
      </c>
      <c r="C40" s="51" t="s">
        <v>43</v>
      </c>
      <c r="D40" s="26" t="s">
        <v>44</v>
      </c>
      <c r="E40" s="26" t="s">
        <v>45</v>
      </c>
      <c r="F40" s="24"/>
      <c r="G40" s="36" t="s">
        <v>69</v>
      </c>
      <c r="H40" s="146"/>
      <c r="I40" s="122"/>
      <c r="J40" s="122">
        <f>PoupançasOuInvestimentos[[#This Row],[Custo previsto]]-PoupançasOuInvestimentos[[#This Row],[Custo Real]]</f>
        <v>0</v>
      </c>
    </row>
    <row r="41" spans="1:10" ht="18" customHeight="1" thickBot="1" x14ac:dyDescent="0.25">
      <c r="A41" s="1"/>
      <c r="B41" s="29" t="s">
        <v>27</v>
      </c>
      <c r="C41" s="142"/>
      <c r="D41" s="116"/>
      <c r="E41" s="116">
        <f>Alimentação[[#This Row],[Custo previsto]]-Alimentação[[#This Row],[Custo Real]]</f>
        <v>0</v>
      </c>
      <c r="F41" s="24"/>
      <c r="G41" s="53" t="s">
        <v>13</v>
      </c>
      <c r="H41" s="147"/>
      <c r="I41" s="142"/>
      <c r="J41" s="148">
        <f>PoupançasOuInvestimentos[[#This Row],[Custo previsto]]-PoupançasOuInvestimentos[[#This Row],[Custo Real]]</f>
        <v>0</v>
      </c>
    </row>
    <row r="42" spans="1:10" ht="18" customHeight="1" thickBot="1" x14ac:dyDescent="0.25">
      <c r="A42" s="1"/>
      <c r="B42" s="32" t="s">
        <v>28</v>
      </c>
      <c r="C42" s="143"/>
      <c r="D42" s="140"/>
      <c r="E42" s="113">
        <f>Alimentação[[#This Row],[Custo previsto]]-Alimentação[[#This Row],[Custo Real]]</f>
        <v>0</v>
      </c>
      <c r="F42" s="2"/>
      <c r="G42" s="21" t="s">
        <v>14</v>
      </c>
      <c r="H42" s="149">
        <f>SUBTOTAL(109,PoupançasOuInvestimentos[Custo previsto])</f>
        <v>0</v>
      </c>
      <c r="I42" s="150">
        <f>SUBTOTAL(109,PoupançasOuInvestimentos[Custo Real])</f>
        <v>0</v>
      </c>
      <c r="J42" s="139">
        <f>SUBTOTAL(109,PoupançasOuInvestimentos[Diferença])</f>
        <v>0</v>
      </c>
    </row>
    <row r="43" spans="1:10" ht="18" customHeight="1" x14ac:dyDescent="0.2">
      <c r="A43" s="1"/>
      <c r="B43" s="33" t="s">
        <v>13</v>
      </c>
      <c r="C43" s="142"/>
      <c r="D43" s="116"/>
      <c r="E43" s="116">
        <f>Alimentação[[#This Row],[Custo previsto]]-Alimentação[[#This Row],[Custo Real]]</f>
        <v>0</v>
      </c>
      <c r="F43" s="2"/>
      <c r="G43" s="160"/>
      <c r="H43" s="160"/>
      <c r="I43" s="160"/>
      <c r="J43" s="160"/>
    </row>
    <row r="44" spans="1:10" ht="18" customHeight="1" x14ac:dyDescent="0.2">
      <c r="A44" s="1"/>
      <c r="B44" s="34" t="s">
        <v>14</v>
      </c>
      <c r="C44" s="144">
        <f>SUBTOTAL(109,Alimentação[Custo previsto])</f>
        <v>0</v>
      </c>
      <c r="D44" s="118">
        <f>SUBTOTAL(109,Alimentação[Custo Real])</f>
        <v>0</v>
      </c>
      <c r="E44" s="118">
        <f>SUBTOTAL(109,Alimentação[Diferença])</f>
        <v>0</v>
      </c>
      <c r="F44" s="2"/>
      <c r="G44" s="39" t="s">
        <v>70</v>
      </c>
      <c r="H44" s="51" t="s">
        <v>43</v>
      </c>
      <c r="I44" s="26" t="s">
        <v>44</v>
      </c>
      <c r="J44" s="28" t="s">
        <v>45</v>
      </c>
    </row>
    <row r="45" spans="1:10" ht="18" customHeight="1" thickBot="1" x14ac:dyDescent="0.25">
      <c r="A45" s="1"/>
      <c r="B45" s="160"/>
      <c r="C45" s="160"/>
      <c r="D45" s="160"/>
      <c r="E45" s="160"/>
      <c r="F45" s="7"/>
      <c r="G45" s="54" t="s">
        <v>71</v>
      </c>
      <c r="H45" s="142"/>
      <c r="I45" s="116"/>
      <c r="J45" s="142">
        <f>PresentesEDoações[[#This Row],[Custo previsto]]-PresentesEDoações[[#This Row],[Custo Real]]</f>
        <v>0</v>
      </c>
    </row>
    <row r="46" spans="1:10" ht="18" customHeight="1" thickBot="1" x14ac:dyDescent="0.25">
      <c r="A46" s="1"/>
      <c r="B46" s="21" t="s">
        <v>29</v>
      </c>
      <c r="C46" s="25" t="s">
        <v>43</v>
      </c>
      <c r="D46" s="25" t="s">
        <v>44</v>
      </c>
      <c r="E46" s="25" t="s">
        <v>45</v>
      </c>
      <c r="F46" s="7"/>
      <c r="G46" s="46" t="s">
        <v>72</v>
      </c>
      <c r="H46" s="143"/>
      <c r="I46" s="140"/>
      <c r="J46" s="143">
        <f>PresentesEDoações[[#This Row],[Custo previsto]]-PresentesEDoações[[#This Row],[Custo Real]]</f>
        <v>0</v>
      </c>
    </row>
    <row r="47" spans="1:10" ht="18" customHeight="1" thickBot="1" x14ac:dyDescent="0.25">
      <c r="A47" s="1"/>
      <c r="B47" s="56" t="s">
        <v>30</v>
      </c>
      <c r="C47" s="120"/>
      <c r="D47" s="120"/>
      <c r="E47" s="121">
        <f>Animais_de_estimação[[#This Row],[Custo previsto]]-Animais_de_estimação[[#This Row],[Custo Real]]</f>
        <v>0</v>
      </c>
      <c r="F47" s="7"/>
      <c r="G47" s="55" t="s">
        <v>73</v>
      </c>
      <c r="H47" s="142"/>
      <c r="I47" s="116"/>
      <c r="J47" s="142">
        <f>PresentesEDoações[[#This Row],[Custo previsto]]-PresentesEDoações[[#This Row],[Custo Real]]</f>
        <v>0</v>
      </c>
    </row>
    <row r="48" spans="1:10" ht="18" customHeight="1" thickBot="1" x14ac:dyDescent="0.25">
      <c r="A48" s="1"/>
      <c r="B48" s="36" t="s">
        <v>31</v>
      </c>
      <c r="C48" s="122"/>
      <c r="D48" s="122"/>
      <c r="E48" s="158">
        <f>Animais_de_estimação[[#This Row],[Custo previsto]]-Animais_de_estimação[[#This Row],[Custo Real]]</f>
        <v>0</v>
      </c>
      <c r="F48" s="2"/>
      <c r="G48" s="34" t="s">
        <v>14</v>
      </c>
      <c r="H48" s="144">
        <f>SUBTOTAL(109,PresentesEDoações[Custo previsto])</f>
        <v>0</v>
      </c>
      <c r="I48" s="118">
        <f>SUBTOTAL(109,PresentesEDoações[Custo Real])</f>
        <v>0</v>
      </c>
      <c r="J48" s="153">
        <f>SUBTOTAL(109,PresentesEDoações[Diferença])</f>
        <v>0</v>
      </c>
    </row>
    <row r="49" spans="1:10" ht="18" customHeight="1" thickBot="1" x14ac:dyDescent="0.25">
      <c r="A49" s="1"/>
      <c r="B49" s="56" t="s">
        <v>32</v>
      </c>
      <c r="C49" s="120"/>
      <c r="D49" s="125"/>
      <c r="E49" s="120">
        <f>Animais_de_estimação[[#This Row],[Custo previsto]]-Animais_de_estimação[[#This Row],[Custo Real]]</f>
        <v>0</v>
      </c>
      <c r="F49" s="2"/>
      <c r="G49" s="160"/>
      <c r="H49" s="160"/>
      <c r="I49" s="160"/>
      <c r="J49" s="160"/>
    </row>
    <row r="50" spans="1:10" ht="18" customHeight="1" thickBot="1" x14ac:dyDescent="0.25">
      <c r="A50" s="1"/>
      <c r="B50" s="36" t="s">
        <v>33</v>
      </c>
      <c r="C50" s="122"/>
      <c r="D50" s="146"/>
      <c r="E50" s="158">
        <f>Animais_de_estimação[[#This Row],[Custo previsto]]-Animais_de_estimação[[#This Row],[Custo Real]]</f>
        <v>0</v>
      </c>
      <c r="F50" s="2"/>
      <c r="G50" s="21" t="s">
        <v>74</v>
      </c>
      <c r="H50" s="22" t="s">
        <v>43</v>
      </c>
      <c r="I50" s="17" t="s">
        <v>44</v>
      </c>
      <c r="J50" s="17" t="s">
        <v>45</v>
      </c>
    </row>
    <row r="51" spans="1:10" ht="18" customHeight="1" thickBot="1" x14ac:dyDescent="0.25">
      <c r="A51" s="1"/>
      <c r="B51" s="57" t="s">
        <v>13</v>
      </c>
      <c r="C51" s="147"/>
      <c r="D51" s="120"/>
      <c r="E51" s="157">
        <f>Animais_de_estimação[[#This Row],[Custo previsto]]-Animais_de_estimação[[#This Row],[Custo Real]]</f>
        <v>0</v>
      </c>
      <c r="F51" s="24"/>
      <c r="G51" s="53" t="s">
        <v>75</v>
      </c>
      <c r="H51" s="152"/>
      <c r="I51" s="120"/>
      <c r="J51" s="120">
        <f>Assessoria_jurídica[[#This Row],[Custo previsto]]-Assessoria_jurídica[[#This Row],[Custo Real]]</f>
        <v>0</v>
      </c>
    </row>
    <row r="52" spans="1:10" ht="18" customHeight="1" thickBot="1" x14ac:dyDescent="0.25">
      <c r="A52" s="1"/>
      <c r="B52" s="81" t="s">
        <v>14</v>
      </c>
      <c r="C52" s="151">
        <f>SUBTOTAL(109,Animais_de_estimação[Custo previsto])</f>
        <v>0</v>
      </c>
      <c r="D52" s="137">
        <f>SUBTOTAL(109,Animais_de_estimação[Custo Real])</f>
        <v>0</v>
      </c>
      <c r="E52" s="137">
        <f>SUBTOTAL(109,Animais_de_estimação[Diferença])</f>
        <v>0</v>
      </c>
      <c r="F52" s="24"/>
      <c r="G52" s="58" t="s">
        <v>76</v>
      </c>
      <c r="H52" s="154"/>
      <c r="I52" s="122"/>
      <c r="J52" s="128">
        <f>Assessoria_jurídica[[#This Row],[Custo previsto]]-Assessoria_jurídica[[#This Row],[Custo Real]]</f>
        <v>0</v>
      </c>
    </row>
    <row r="53" spans="1:10" ht="18" customHeight="1" thickBot="1" x14ac:dyDescent="0.25">
      <c r="A53" s="1"/>
      <c r="B53" s="160"/>
      <c r="C53" s="160"/>
      <c r="D53" s="160"/>
      <c r="E53" s="160"/>
      <c r="F53" s="24"/>
      <c r="G53" s="53" t="s">
        <v>77</v>
      </c>
      <c r="H53" s="152"/>
      <c r="I53" s="120"/>
      <c r="J53" s="120">
        <f>Assessoria_jurídica[[#This Row],[Custo previsto]]-Assessoria_jurídica[[#This Row],[Custo Real]]</f>
        <v>0</v>
      </c>
    </row>
    <row r="54" spans="1:10" ht="18" customHeight="1" thickBot="1" x14ac:dyDescent="0.25">
      <c r="A54" s="1"/>
      <c r="B54" s="61" t="s">
        <v>34</v>
      </c>
      <c r="C54" s="28" t="s">
        <v>43</v>
      </c>
      <c r="D54" s="27" t="s">
        <v>44</v>
      </c>
      <c r="E54" s="28" t="s">
        <v>45</v>
      </c>
      <c r="F54" s="24"/>
      <c r="G54" s="59" t="s">
        <v>13</v>
      </c>
      <c r="H54" s="155"/>
      <c r="I54" s="123"/>
      <c r="J54" s="128">
        <f>Assessoria_jurídica[[#This Row],[Custo previsto]]-Assessoria_jurídica[[#This Row],[Custo Real]]</f>
        <v>0</v>
      </c>
    </row>
    <row r="55" spans="1:10" ht="18" customHeight="1" thickBot="1" x14ac:dyDescent="0.25">
      <c r="A55" s="1"/>
      <c r="B55" s="33" t="s">
        <v>31</v>
      </c>
      <c r="C55" s="152"/>
      <c r="D55" s="116"/>
      <c r="E55" s="116">
        <f>CuidadosPessoais[[#This Row],[Custo previsto]]-CuidadosPessoais[[#This Row],[Custo Real]]</f>
        <v>0</v>
      </c>
      <c r="F55" s="2"/>
      <c r="G55" s="21" t="s">
        <v>14</v>
      </c>
      <c r="H55" s="156">
        <f>SUBTOTAL(109,Assessoria_jurídica[Custo previsto])</f>
        <v>0</v>
      </c>
      <c r="I55" s="137">
        <f>SUBTOTAL(109,Assessoria_jurídica[Custo Real])</f>
        <v>0</v>
      </c>
      <c r="J55" s="137">
        <f>SUBTOTAL(109,Assessoria_jurídica[Diferença])</f>
        <v>0</v>
      </c>
    </row>
    <row r="56" spans="1:10" ht="18" customHeight="1" thickBot="1" x14ac:dyDescent="0.25">
      <c r="A56" s="1"/>
      <c r="B56" s="32" t="s">
        <v>35</v>
      </c>
      <c r="C56" s="141"/>
      <c r="D56" s="140"/>
      <c r="E56" s="113">
        <f>CuidadosPessoais[[#This Row],[Custo previsto]]-CuidadosPessoais[[#This Row],[Custo Real]]</f>
        <v>0</v>
      </c>
      <c r="F56" s="1"/>
      <c r="G56" s="162"/>
      <c r="H56" s="162"/>
      <c r="I56" s="162"/>
      <c r="J56" s="162"/>
    </row>
    <row r="57" spans="1:10" ht="18" customHeight="1" thickBot="1" x14ac:dyDescent="0.25">
      <c r="A57" s="1"/>
      <c r="B57" s="31" t="s">
        <v>36</v>
      </c>
      <c r="C57" s="114"/>
      <c r="D57" s="116"/>
      <c r="E57" s="116">
        <f>CuidadosPessoais[[#This Row],[Custo previsto]]-CuidadosPessoais[[#This Row],[Custo Real]]</f>
        <v>0</v>
      </c>
      <c r="F57" s="1"/>
    </row>
    <row r="58" spans="1:10" ht="18" customHeight="1" thickBot="1" x14ac:dyDescent="0.25">
      <c r="A58" s="1"/>
      <c r="B58" s="32" t="s">
        <v>37</v>
      </c>
      <c r="C58" s="141"/>
      <c r="D58" s="140"/>
      <c r="E58" s="113">
        <f>CuidadosPessoais[[#This Row],[Custo previsto]]-CuidadosPessoais[[#This Row],[Custo Real]]</f>
        <v>0</v>
      </c>
      <c r="F58" s="1"/>
    </row>
    <row r="59" spans="1:10" ht="18" customHeight="1" thickBot="1" x14ac:dyDescent="0.25">
      <c r="A59" s="1"/>
      <c r="B59" s="33" t="s">
        <v>38</v>
      </c>
      <c r="C59" s="114"/>
      <c r="D59" s="114"/>
      <c r="E59" s="116">
        <f>CuidadosPessoais[[#This Row],[Custo previsto]]-CuidadosPessoais[[#This Row],[Custo Real]]</f>
        <v>0</v>
      </c>
      <c r="F59" s="1"/>
    </row>
    <row r="60" spans="1:10" ht="18" customHeight="1" thickBot="1" x14ac:dyDescent="0.25">
      <c r="A60" s="1"/>
      <c r="B60" s="32" t="s">
        <v>39</v>
      </c>
      <c r="C60" s="140"/>
      <c r="D60" s="113"/>
      <c r="E60" s="113">
        <f>CuidadosPessoais[[#This Row],[Custo previsto]]-CuidadosPessoais[[#This Row],[Custo Real]]</f>
        <v>0</v>
      </c>
      <c r="F60" s="1"/>
    </row>
    <row r="61" spans="1:10" ht="18" customHeight="1" x14ac:dyDescent="0.2">
      <c r="A61" s="1"/>
      <c r="B61" s="33" t="s">
        <v>13</v>
      </c>
      <c r="C61" s="152"/>
      <c r="D61" s="117"/>
      <c r="E61" s="116">
        <f>CuidadosPessoais[[#This Row],[Custo previsto]]-CuidadosPessoais[[#This Row],[Custo Real]]</f>
        <v>0</v>
      </c>
      <c r="F61" s="1"/>
    </row>
    <row r="62" spans="1:10" ht="18" customHeight="1" x14ac:dyDescent="0.2">
      <c r="A62" s="1"/>
      <c r="B62" s="82" t="s">
        <v>14</v>
      </c>
      <c r="C62" s="153">
        <f>SUBTOTAL(109,CuidadosPessoais[Custo previsto])</f>
        <v>0</v>
      </c>
      <c r="D62" s="118">
        <f>SUBTOTAL(109,CuidadosPessoais[Custo Real])</f>
        <v>0</v>
      </c>
      <c r="E62" s="153">
        <f>SUBTOTAL(109,CuidadosPessoais[Diferença])</f>
        <v>0</v>
      </c>
      <c r="F62" s="1"/>
    </row>
    <row r="63" spans="1:10" ht="20.100000000000001" customHeight="1" x14ac:dyDescent="0.2"/>
  </sheetData>
  <mergeCells count="26">
    <mergeCell ref="B1:J1"/>
    <mergeCell ref="C5:D5"/>
    <mergeCell ref="C6:D6"/>
    <mergeCell ref="C7:D7"/>
    <mergeCell ref="C8:D8"/>
    <mergeCell ref="B6:B8"/>
    <mergeCell ref="B3:B5"/>
    <mergeCell ref="C3:D3"/>
    <mergeCell ref="C4:D4"/>
    <mergeCell ref="G8:I8"/>
    <mergeCell ref="G5:I5"/>
    <mergeCell ref="H3:I3"/>
    <mergeCell ref="H4:I4"/>
    <mergeCell ref="H6:I6"/>
    <mergeCell ref="H7:I7"/>
    <mergeCell ref="B45:E45"/>
    <mergeCell ref="G56:J56"/>
    <mergeCell ref="B53:E53"/>
    <mergeCell ref="G43:J43"/>
    <mergeCell ref="G49:J49"/>
    <mergeCell ref="B22:E22"/>
    <mergeCell ref="B32:E32"/>
    <mergeCell ref="B39:E39"/>
    <mergeCell ref="G21:J21"/>
    <mergeCell ref="G30:J30"/>
    <mergeCell ref="G37:J37"/>
  </mergeCells>
  <phoneticPr fontId="1" type="noConversion"/>
  <conditionalFormatting sqref="E11:E21 E24:E31 E34:E38 E41:E44 E47:E52 E55:E62 J11:J20 J23:J29 J32:J36 J39:J42 J45:J48 J51:J55">
    <cfRule type="iconSet" priority="3">
      <iconSet iconSet="3Signs">
        <cfvo type="percent" val="0"/>
        <cfvo type="num" val="-20"/>
        <cfvo type="num" val="0"/>
      </iconSet>
    </cfRule>
  </conditionalFormatting>
  <dataValidations count="55">
    <dataValidation allowBlank="1" showInputMessage="1" showErrorMessage="1" prompt="Crie um Orçamento pessoal mensal nesta planilha. A Receita atual e prevista começa na célula B3. As tabelas de exemplo das categorias de despesas estão em duas colunas que começam nas células B10 e G10" sqref="A1" xr:uid="{00000000-0002-0000-0000-000000000000}"/>
    <dataValidation allowBlank="1" showInputMessage="1" showErrorMessage="1" prompt="O título desta planilha está nesta célula. Prossiga até a célula B3 para inserir a receita atual e prevista. O resumo das despesas e saldos é calculado automaticamente começando na célula G3" sqref="B1:J1" xr:uid="{00000000-0002-0000-0000-000001000000}"/>
    <dataValidation allowBlank="1" showInputMessage="1" showErrorMessage="1" prompt="Insira a receita prevista na célula E3 e a receita extra prevista na célula E4. A previsão de receita mensal total é calculada automaticamente na célula E5. o rótulo da receita mensal real está na celular abaixo" sqref="B3:B5" xr:uid="{00000000-0002-0000-0000-000002000000}"/>
    <dataValidation allowBlank="1" showInputMessage="1" showErrorMessage="1" prompt="Insira a Receita real 1 na célula à direita" sqref="C6:D6" xr:uid="{00000000-0002-0000-0000-000003000000}"/>
    <dataValidation allowBlank="1" showInputMessage="1" showErrorMessage="1" prompt="Insira a Receita real 1 nesta célula" sqref="E6" xr:uid="{00000000-0002-0000-0000-000004000000}"/>
    <dataValidation allowBlank="1" showInputMessage="1" showErrorMessage="1" prompt="Insira a Receita extra real na célula à direita" sqref="C7:D7" xr:uid="{00000000-0002-0000-0000-000005000000}"/>
    <dataValidation allowBlank="1" showInputMessage="1" showErrorMessage="1" prompt="Insira a Receita extra real nesta célula" sqref="E7" xr:uid="{00000000-0002-0000-0000-000006000000}"/>
    <dataValidation allowBlank="1" showInputMessage="1" showErrorMessage="1" prompt="A receita mensal total real é calculada automaticamente na célula à direita" sqref="C8:D8" xr:uid="{00000000-0002-0000-0000-000007000000}"/>
    <dataValidation allowBlank="1" showInputMessage="1" showErrorMessage="1" prompt="A previsão de receita mensal total é calculada automaticamente nesta célula" sqref="E5" xr:uid="{00000000-0002-0000-0000-000008000000}"/>
    <dataValidation allowBlank="1" showInputMessage="1" showErrorMessage="1" prompt="Insira a receita real na célula E6 e a receita extra real na célula E7. A receita mensal total real é calculada automaticamente na célula E8. Resumo da receita é calculado automaticamente a partir da célula G3" sqref="B6:B8" xr:uid="{00000000-0002-0000-0000-000009000000}"/>
    <dataValidation allowBlank="1" showInputMessage="1" showErrorMessage="1" prompt="A receita mensal total real é calculada automaticamente nesta célula" sqref="E8" xr:uid="{00000000-0002-0000-0000-00000A000000}"/>
    <dataValidation allowBlank="1" showInputMessage="1" showErrorMessage="1" prompt="O Saldo previsto é calculado automaticamente na célula J6" sqref="G6" xr:uid="{00000000-0002-0000-0000-00000B000000}"/>
    <dataValidation allowBlank="1" showInputMessage="1" showErrorMessage="1" prompt="As despesas de Moradia de exemplo estão nesta coluna sob este título" sqref="B10" xr:uid="{00000000-0002-0000-0000-00000C000000}"/>
    <dataValidation allowBlank="1" showInputMessage="1" showErrorMessage="1" prompt="Insira o Custo previsto na coluna sob este cabeçalho" sqref="C10 H50 C54 H10 H22 H31 H38 H44 C23 C33 C40 C46" xr:uid="{00000000-0002-0000-0000-00000D000000}"/>
    <dataValidation allowBlank="1" showInputMessage="1" showErrorMessage="1" prompt="Insira o Custo real na coluna sob este cabeçalho" sqref="D10 D23 D54 I10 I22 I31 I38 I44 I50 D33 D40 D46" xr:uid="{00000000-0002-0000-0000-00000E000000}"/>
    <dataValidation allowBlank="1" showInputMessage="1" showErrorMessage="1" prompt="As despesas com Transporte de exemplo estão nesta coluna sob este título" sqref="B23" xr:uid="{00000000-0002-0000-0000-00000F000000}"/>
    <dataValidation allowBlank="1" showInputMessage="1" showErrorMessage="1" prompt="Insira os detalhes na tabela Cuidados pessoais começando abaixo" sqref="B53:E53" xr:uid="{00000000-0002-0000-0000-000010000000}"/>
    <dataValidation allowBlank="1" showInputMessage="1" showErrorMessage="1" prompt="Insira os detalhes na tabela Transportes começando abaixo" sqref="B22:E22" xr:uid="{00000000-0002-0000-0000-000011000000}"/>
    <dataValidation allowBlank="1" showInputMessage="1" showErrorMessage="1" prompt="As despesas com Cuidados pessoais de exemplo estão nesta coluna sob este título" sqref="B54" xr:uid="{00000000-0002-0000-0000-000012000000}"/>
    <dataValidation allowBlank="1" showInputMessage="1" showErrorMessage="1" prompt="As despesas com Entretenimento de exemplo estão nesta coluna sob este título" sqref="G10" xr:uid="{00000000-0002-0000-0000-000013000000}"/>
    <dataValidation allowBlank="1" showInputMessage="1" showErrorMessage="1" prompt="Insira os detalhes na tabela Empréstimos começando abaixo" sqref="G21:J21" xr:uid="{00000000-0002-0000-0000-000014000000}"/>
    <dataValidation allowBlank="1" showInputMessage="1" showErrorMessage="1" prompt="As despesas com Empréstimos de exemplo estão nesta coluna sob este título" sqref="G22" xr:uid="{00000000-0002-0000-0000-000015000000}"/>
    <dataValidation allowBlank="1" showInputMessage="1" showErrorMessage="1" prompt="Insira os detalhes na tabela Impostos começando abaixo" sqref="G30:J30" xr:uid="{00000000-0002-0000-0000-000016000000}"/>
    <dataValidation allowBlank="1" showInputMessage="1" showErrorMessage="1" prompt="As despesas com Impostos de exemplo estão nesta coluna sob este título" sqref="G31" xr:uid="{00000000-0002-0000-0000-000017000000}"/>
    <dataValidation allowBlank="1" showInputMessage="1" showErrorMessage="1" prompt="Insira os detalhes na tabela Poupanças ou investimentos começando abaixo" sqref="G37:J37" xr:uid="{00000000-0002-0000-0000-000018000000}"/>
    <dataValidation allowBlank="1" showInputMessage="1" showErrorMessage="1" prompt="As despesas com Poupanças ou investimentos de exemplo estão nesta coluna sob este título" sqref="G38" xr:uid="{00000000-0002-0000-0000-000019000000}"/>
    <dataValidation allowBlank="1" showInputMessage="1" showErrorMessage="1" prompt="Insira os detalhes na tabela Presentes e doações começando abaixo" sqref="G43:J43" xr:uid="{00000000-0002-0000-0000-00001A000000}"/>
    <dataValidation allowBlank="1" showInputMessage="1" showErrorMessage="1" prompt="As despesas com Presentes e doações de exemplo estão nesta coluna sob este título" sqref="G44" xr:uid="{00000000-0002-0000-0000-00001B000000}"/>
    <dataValidation allowBlank="1" showInputMessage="1" showErrorMessage="1" prompt="Insira os detalhes na tabela Assessoria jurídica começando abaixo" sqref="G49:J49" xr:uid="{00000000-0002-0000-0000-00001C000000}"/>
    <dataValidation allowBlank="1" showInputMessage="1" showErrorMessage="1" prompt="As despesas com Assessoria jurídica de exemplo estão nesta coluna sob este título" sqref="G50" xr:uid="{00000000-0002-0000-0000-00001D000000}"/>
    <dataValidation allowBlank="1" showInputMessage="1" showErrorMessage="1" prompt="O Custo total previsto é calculado automaticamente na célula J57, o Custo total real na célula J59 e a Diferença na célula J61." sqref="G56:J56" xr:uid="{00000000-0002-0000-0000-00001E000000}"/>
    <dataValidation allowBlank="1" showInputMessage="1" showErrorMessage="1" prompt="As despesas com Seguro de exemplo estão nesta coluna sob este título" sqref="B33" xr:uid="{00000000-0002-0000-0000-00001F000000}"/>
    <dataValidation allowBlank="1" showInputMessage="1" showErrorMessage="1" prompt="As despesas com Alimentação de exemplo estão nesta coluna sob este título" sqref="B40" xr:uid="{00000000-0002-0000-0000-000020000000}"/>
    <dataValidation allowBlank="1" showInputMessage="1" showErrorMessage="1" prompt="Modifique ou insira os itens de Animais de estimação na coluna sob este cabeçalho" sqref="B46" xr:uid="{00000000-0002-0000-0000-000021000000}"/>
    <dataValidation allowBlank="1" showInputMessage="1" showErrorMessage="1" prompt="Insira os detalhes na tabela Seguro começando abaixo" sqref="B32:E32" xr:uid="{00000000-0002-0000-0000-000022000000}"/>
    <dataValidation allowBlank="1" showInputMessage="1" showErrorMessage="1" prompt="Insira os detalhes na tabela Alimentação começando abaixo" sqref="B39:E39" xr:uid="{00000000-0002-0000-0000-000023000000}"/>
    <dataValidation allowBlank="1" showInputMessage="1" showErrorMessage="1" prompt="Insira os detalhes na tabela Animais de estimação começando abaixo" sqref="B45:E45" xr:uid="{00000000-0002-0000-0000-000024000000}"/>
    <dataValidation allowBlank="1" showInputMessage="1" showErrorMessage="1" prompt="Insira os detalhes na tabela Entretenimento começando abaixo" sqref="G9" xr:uid="{00000000-0002-0000-0000-000025000000}"/>
    <dataValidation allowBlank="1" showInputMessage="1" showErrorMessage="1" prompt="A Diferença é calculada automaticamente na coluna sob este cabeçalho" sqref="E10 J10 E23 J22 E33 J31 E40 E46 J50 J44 J38 E54" xr:uid="{00000000-0002-0000-0000-000026000000}"/>
    <dataValidation allowBlank="1" showInputMessage="1" showErrorMessage="1" prompt="A previsão de receita mensal total é calculada automaticamente na célula à direita" sqref="C5:D5" xr:uid="{00000000-0002-0000-0000-000027000000}"/>
    <dataValidation allowBlank="1" showInputMessage="1" showErrorMessage="1" prompt="Insira a Receita prevista 1 na célula à direita" sqref="C3:D3" xr:uid="{00000000-0002-0000-0000-000028000000}"/>
    <dataValidation allowBlank="1" showInputMessage="1" showErrorMessage="1" prompt="Insira a Receita extra prevista na célula à direita" sqref="C4:D4" xr:uid="{00000000-0002-0000-0000-000029000000}"/>
    <dataValidation allowBlank="1" showInputMessage="1" showErrorMessage="1" prompt="Insira a Receita prevista 1 nesta célula" sqref="E3" xr:uid="{00000000-0002-0000-0000-00002A000000}"/>
    <dataValidation allowBlank="1" showInputMessage="1" showErrorMessage="1" prompt="Insira a Receita extra prevista nesta célula" sqref="E4" xr:uid="{00000000-0002-0000-0000-00002B000000}"/>
    <dataValidation allowBlank="1" showInputMessage="1" showErrorMessage="1" prompt="O Saldo atual é calculado automaticamente na célula J7" sqref="G7" xr:uid="{00000000-0002-0000-0000-00002C000000}"/>
    <dataValidation allowBlank="1" showInputMessage="1" showErrorMessage="1" prompt="A Previsão de despesa total é calculada automaticamente nesta célula" sqref="J3" xr:uid="{00000000-0002-0000-0000-00002D000000}"/>
    <dataValidation allowBlank="1" showInputMessage="1" showErrorMessage="1" prompt="A Despesa total real é calculada automaticamente nesta célula" sqref="J4" xr:uid="{00000000-0002-0000-0000-00002E000000}"/>
    <dataValidation allowBlank="1" showInputMessage="1" showErrorMessage="1" prompt="A Diferença de despesas total é calculada automaticamente nesta célula" sqref="J5" xr:uid="{00000000-0002-0000-0000-00002F000000}"/>
    <dataValidation allowBlank="1" showInputMessage="1" showErrorMessage="1" prompt="A Previsão de despesa total é calculada automaticamente na célula J3" sqref="G3" xr:uid="{00000000-0002-0000-0000-000030000000}"/>
    <dataValidation allowBlank="1" showInputMessage="1" showErrorMessage="1" prompt="A Despesa total real é calculada automaticamente na célula J4" sqref="G4" xr:uid="{00000000-0002-0000-0000-000031000000}"/>
    <dataValidation allowBlank="1" showInputMessage="1" showErrorMessage="1" prompt="A Diferença de despesas total é calculada automaticamente na célula à direita" sqref="G5:I5" xr:uid="{00000000-0002-0000-0000-000032000000}"/>
    <dataValidation allowBlank="1" showInputMessage="1" showErrorMessage="1" prompt="A diferença do saldo previsto vs. saldo atual é calculado automaticamente na célula à direita" sqref="G8:I8" xr:uid="{00000000-0002-0000-0000-000033000000}"/>
    <dataValidation allowBlank="1" showInputMessage="1" showErrorMessage="1" prompt="O Saldo previsto é calculado automaticamente nesta célula" sqref="J6" xr:uid="{00000000-0002-0000-0000-000034000000}"/>
    <dataValidation allowBlank="1" showInputMessage="1" showErrorMessage="1" prompt="O Saldo real é calculado automaticamente nesta célula" sqref="J7" xr:uid="{00000000-0002-0000-0000-000035000000}"/>
    <dataValidation allowBlank="1" showInputMessage="1" showErrorMessage="1" prompt="A Diferença de saldo é calculada automaticamente nesta célula" sqref="J8" xr:uid="{00000000-0002-0000-0000-000036000000}"/>
  </dataValidations>
  <printOptions horizontalCentered="1"/>
  <pageMargins left="0.5" right="0.5" top="0.5" bottom="0.5" header="0.5" footer="0.5"/>
  <pageSetup paperSize="9" scale="48" orientation="portrait" horizontalDpi="4294967292" r:id="rId1"/>
  <headerFooter differentFirst="1" alignWithMargins="0">
    <oddFooter>Page &amp;P of &amp;N</oddFooter>
  </headerFooter>
  <ignoredErrors>
    <ignoredError sqref="E25:E30 E15:E20 J12:J19 J23:J28 E34:E37 J32:J35 J39:J41 J45:J47" emptyCellReference="1"/>
  </ignoredErrors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TM16410113</ap:Template>
  <ap:ScaleCrop>false</ap:ScaleCrop>
  <ap:HeadingPairs>
    <vt:vector baseType="variant" size="2">
      <vt:variant>
        <vt:lpstr>Worksheets</vt:lpstr>
      </vt:variant>
      <vt:variant>
        <vt:i4>1</vt:i4>
      </vt:variant>
    </vt:vector>
  </ap:HeadingPairs>
  <ap:TitlesOfParts>
    <vt:vector baseType="lpstr" size="1">
      <vt:lpstr>Orçamento pessoal mensal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2018-04-23T07:00:55Z</dcterms:created>
  <dcterms:modified xsi:type="dcterms:W3CDTF">2023-04-13T01:10:29Z</dcterms:modified>
</cp:coreProperties>
</file>